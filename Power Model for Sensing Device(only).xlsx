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Parameters" sheetId="1" r:id="rId5"/>
    <sheet state="visible" name="Sensitivity Analysis" sheetId="2" r:id="rId6"/>
  </sheets>
  <definedNames/>
  <calcPr/>
</workbook>
</file>

<file path=xl/sharedStrings.xml><?xml version="1.0" encoding="utf-8"?>
<sst xmlns="http://schemas.openxmlformats.org/spreadsheetml/2006/main" count="75" uniqueCount="55">
  <si>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</si>
  <si>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</si>
  <si>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</si>
  <si>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</si>
  <si>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</si>
  <si>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</si>
  <si>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</si>
  <si>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</si>
  <si>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</si>
  <si>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</si>
  <si>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</si>
  <si>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</si>
  <si>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</si>
  <si>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</si>
  <si>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</si>
  <si>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</si>
  <si>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</si>
  <si>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</si>
  <si>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</si>
  <si>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</si>
  <si>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</si>
  <si>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</si>
  <si>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</si>
  <si>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</si>
  <si>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</si>
  <si>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</si>
  <si>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</si>
  <si>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</si>
  <si>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</si>
  <si>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</si>
  <si>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</si>
  <si>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</si>
  <si>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</si>
  <si>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</si>
  <si>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</si>
  <si>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</si>
  <si>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</si>
  <si>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</si>
  <si>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</si>
  <si>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Analyzing the power consumption of this device made it clear that the processor and radio dominate overall energy usage, especially during interactive states. While individual components like the sensor consume relatively little power, their always-on behavior during sensing modes still contributes meaningfully over long periods of time. This highlighted how duty cycle decisions can be just as important as absolute power ratings from datasheets.
One key tradeoff is between responsiveness and battery life. Increasing interactive time improves user feedback and system reliability but significantly increases power draw due to higher processor activity and frequent radio transmission. Conversely, relying more on sleep and standby states greatly extends battery life but may introduce latency or reduce real-time responsiveness.
Another tradeoff involves communication strategy. Keeping the radio mostly in standby and minimizing TX/RX time reduces energy consumption, but it limits how frequently data can be transmitted. Optimizing software behavior, such as batching transmissions or reducing polling frequency, would likely yield larger power savings than changing individual hardware components.
Overall, this analysis emphasized that software-defined usage profiles play a critical role in real-world battery performance, and thoughtful power management strategies are essential to balancing usability, reliability, and battery longevity.</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</si>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</sst>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6">
    <font>
      <sz val="10.0"/>
      <color rgb="FF000000"/>
      <name val="Arial"/>
      <scheme val="minor"/>
    </font>
    <font>
      <color theme="1"/>
      <name val="Arial"/>
      <scheme val="minor"/>
    </font>
    <font>
      <b/>
      <color theme="1"/>
      <name val="Arial"/>
      <scheme val="minor"/>
    </font>
    <font>
      <sz val="11.0"/>
      <color theme="1"/>
      <name val="Arial"/>
      <scheme val="minor"/>
    </font>
    <font>
      <b/>
      <u/>
      <color rgb="FF0000FF"/>
    </font>
    <font>
      <u/>
      <color rgb="FF0000FF"/>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readingOrder="0"/>
    </xf>
    <xf borderId="0" fillId="0" fontId="2" numFmtId="0" xfId="0" applyAlignment="1" applyFont="1">
      <alignment readingOrder="0"/>
    </xf>
    <xf borderId="5" fillId="0" fontId="1" numFmtId="0" xfId="0" applyBorder="1" applyFont="1"/>
    <xf borderId="4" fillId="0" fontId="1" numFmtId="0" xfId="0" applyBorder="1" applyFont="1"/>
    <xf borderId="0" fillId="0" fontId="3" numFmtId="0" xfId="0" applyAlignment="1" applyFont="1">
      <alignment readingOrder="0"/>
    </xf>
    <xf borderId="0" fillId="0" fontId="1" numFmtId="0" xfId="0" applyAlignment="1" applyFont="1">
      <alignment readingOrder="0"/>
    </xf>
    <xf borderId="4" fillId="0" fontId="4" numFmtId="0" xfId="0" applyAlignment="1" applyBorder="1" applyFont="1">
      <alignment readingOrder="0"/>
    </xf>
    <xf borderId="4" fillId="0" fontId="1" numFmtId="0" xfId="0" applyAlignment="1" applyBorder="1" applyFont="1">
      <alignment readingOrder="0"/>
    </xf>
    <xf borderId="0" fillId="2" fontId="3" numFmtId="1" xfId="0" applyAlignment="1" applyFill="1" applyFont="1" applyNumberFormat="1">
      <alignment readingOrder="0"/>
    </xf>
    <xf borderId="0" fillId="2" fontId="1" numFmtId="9" xfId="0" applyAlignment="1" applyFont="1" applyNumberFormat="1">
      <alignment readingOrder="0"/>
    </xf>
    <xf borderId="0" fillId="2" fontId="3" numFmtId="9" xfId="0" applyAlignment="1" applyFont="1" applyNumberFormat="1">
      <alignment readingOrder="0"/>
    </xf>
    <xf borderId="0" fillId="2" fontId="1" numFmtId="1" xfId="0" applyAlignment="1" applyFont="1" applyNumberFormat="1">
      <alignment readingOrder="0"/>
    </xf>
    <xf borderId="0" fillId="2" fontId="1" numFmtId="2" xfId="0" applyAlignment="1" applyFont="1" applyNumberFormat="1">
      <alignment readingOrder="0"/>
    </xf>
    <xf borderId="0" fillId="0" fontId="1" numFmtId="1" xfId="0" applyFont="1" applyNumberFormat="1"/>
    <xf borderId="0" fillId="2" fontId="1" numFmtId="164" xfId="0" applyAlignment="1" applyFont="1" applyNumberFormat="1">
      <alignment readingOrder="0"/>
    </xf>
    <xf borderId="0" fillId="2" fontId="1" numFmtId="0" xfId="0" applyAlignment="1" applyFont="1">
      <alignment readingOrder="0"/>
    </xf>
    <xf borderId="0" fillId="3" fontId="1" numFmtId="0" xfId="0" applyAlignment="1" applyFill="1" applyFont="1">
      <alignment readingOrder="0"/>
    </xf>
    <xf borderId="0" fillId="3" fontId="1" numFmtId="0" xfId="0" applyFont="1"/>
    <xf borderId="0" fillId="3" fontId="1" numFmtId="165" xfId="0" applyFont="1" applyNumberFormat="1"/>
    <xf borderId="0" fillId="0" fontId="1" numFmtId="0" xfId="0" applyFont="1"/>
    <xf borderId="0" fillId="2" fontId="1" numFmtId="165" xfId="0" applyAlignment="1" applyFont="1" applyNumberFormat="1">
      <alignment readingOrder="0"/>
    </xf>
    <xf borderId="0" fillId="4" fontId="2" numFmtId="0" xfId="0" applyAlignment="1" applyFill="1" applyFont="1">
      <alignment readingOrder="0"/>
    </xf>
    <xf borderId="0" fillId="4" fontId="2" numFmtId="2" xfId="0" applyFont="1" applyNumberFormat="1"/>
    <xf borderId="6" fillId="0" fontId="1" numFmtId="0" xfId="0" applyBorder="1" applyFont="1"/>
    <xf borderId="7" fillId="0" fontId="1" numFmtId="0" xfId="0" applyBorder="1" applyFont="1"/>
    <xf borderId="8" fillId="0" fontId="1" numFmtId="0" xfId="0" applyBorder="1" applyFont="1"/>
    <xf borderId="0" fillId="0" fontId="1" numFmtId="0" xfId="0" applyAlignment="1" applyFont="1">
      <alignment readingOrder="0" shrinkToFit="0" wrapText="1"/>
    </xf>
    <xf borderId="0" fillId="0" fontId="5" numFmtId="0" xfId="0" applyFont="1"/>
    <xf borderId="0" fillId="0" fontId="1" numFmtId="9" xfId="0" applyFont="1" applyNumberFormat="1"/>
    <xf borderId="0" fillId="0" fontId="1" numFmtId="2" xfId="0" applyFont="1" applyNumberFormat="1"/>
    <xf borderId="0" fillId="0" fontId="1" numFmtId="164" xfId="0" applyFont="1" applyNumberFormat="1"/>
    <xf borderId="0" fillId="0" fontId="1" numFmtId="165"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1365299115"/>
        <c:axId val="1216210819"/>
      </c:barChart>
      <c:catAx>
        <c:axId val="1365299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6210819"/>
      </c:catAx>
      <c:valAx>
        <c:axId val="12162108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52991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32242484"/>
        <c:axId val="1645447390"/>
      </c:barChart>
      <c:catAx>
        <c:axId val="322424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45447390"/>
      </c:catAx>
      <c:valAx>
        <c:axId val="1645447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24248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180975</xdr:rowOff>
    </xdr:from>
    <xdr:ext cx="6743700"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3723525" y="2928400"/>
          <a:ext cx="3064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a:t>
          </a:r>
          <a:r>
            <a:rPr lang="en-US" sz="1400"/>
            <a:t>f component changes by 10%...</a:t>
          </a:r>
          <a:endParaRPr sz="1400"/>
        </a:p>
        <a:p>
          <a:pPr indent="0" lvl="0" marL="0" rtl="0" algn="l">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171450</xdr:rowOff>
    </xdr:from>
    <xdr:ext cx="6743700" cy="41719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355075" y="2317525"/>
          <a:ext cx="33552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If component changes by 10%</a:t>
          </a:r>
          <a:endParaRPr sz="1400"/>
        </a:p>
        <a:p>
          <a:pPr indent="0" lvl="0" marL="0" rtl="0" algn="l">
            <a:spcBef>
              <a:spcPts val="0"/>
            </a:spcBef>
            <a:spcAft>
              <a:spcPts val="0"/>
            </a:spcAft>
            <a:buNone/>
          </a:pPr>
          <a:r>
            <a:rPr lang="en-US" sz="1400"/>
            <a:t>… “hours” of use changes by x%</a:t>
          </a:r>
          <a:endParaRPr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les.seeedstudio.com/wiki/XIAO_WiFi/Resources/esp32-c3_datasheet.pdf" TargetMode="External"/><Relationship Id="rId2" Type="http://schemas.openxmlformats.org/officeDocument/2006/relationships/hyperlink" Target="https://cdn.sparkfun.com/datasheets/Sensors/ForceFlex/hx711_english.pdf" TargetMode="External"/><Relationship Id="rId3" Type="http://schemas.openxmlformats.org/officeDocument/2006/relationships/hyperlink" Target="https://documentation.espressif.com/esp32_datasheet_en.pdf" TargetMode="External"/><Relationship Id="rId4" Type="http://schemas.openxmlformats.org/officeDocument/2006/relationships/hyperlink" Target="https://www.mouser.com/datasheet/2/855/ASR00008_1100mAh-3078662.pdf?srsltid=AfmBOoqmBBK1m3ANAveMrEUPp3rSYk12XaxEfOctjza7YqkQsACf5oi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5" max="5" width="12.75"/>
  </cols>
  <sheetData>
    <row r="2">
      <c r="A2" s="1"/>
      <c r="B2" s="2"/>
      <c r="C2" s="2"/>
      <c r="D2" s="2"/>
      <c r="E2" s="2"/>
      <c r="F2" s="2"/>
      <c r="G2" s="2"/>
      <c r="H2" s="2"/>
      <c r="I2" s="3"/>
    </row>
    <row r="3">
      <c r="A3" s="4" t="s">
        <v>0</v>
      </c>
      <c r="E3" s="5" t="s">
        <v>1</v>
      </c>
      <c r="I3" s="6"/>
    </row>
    <row r="4">
      <c r="A4" s="7"/>
      <c r="B4" s="8" t="s">
        <v>2</v>
      </c>
      <c r="I4" s="6"/>
    </row>
    <row r="5">
      <c r="A5" s="7"/>
      <c r="E5" s="9" t="s">
        <v>3</v>
      </c>
      <c r="F5" s="9" t="s">
        <v>4</v>
      </c>
      <c r="G5" s="9" t="s">
        <v>5</v>
      </c>
      <c r="I5" s="6"/>
    </row>
    <row r="6">
      <c r="A6" s="10" t="s">
        <v>6</v>
      </c>
      <c r="I6" s="6"/>
    </row>
    <row r="7">
      <c r="A7" s="11" t="s">
        <v>7</v>
      </c>
      <c r="B7" s="12">
        <v>260.0</v>
      </c>
      <c r="C7" s="9" t="s">
        <v>8</v>
      </c>
      <c r="E7" s="13">
        <v>0.0</v>
      </c>
      <c r="F7" s="14">
        <v>0.3</v>
      </c>
      <c r="G7" s="13">
        <v>0.8</v>
      </c>
      <c r="I7" s="6"/>
    </row>
    <row r="8">
      <c r="A8" s="11" t="s">
        <v>9</v>
      </c>
      <c r="B8" s="15">
        <v>65.0</v>
      </c>
      <c r="C8" s="9" t="s">
        <v>8</v>
      </c>
      <c r="E8" s="13">
        <v>0.0</v>
      </c>
      <c r="F8" s="14">
        <v>0.2</v>
      </c>
      <c r="G8" s="13">
        <v>0.1</v>
      </c>
      <c r="I8" s="6"/>
    </row>
    <row r="9">
      <c r="A9" s="11" t="s">
        <v>10</v>
      </c>
      <c r="B9" s="16">
        <v>0.02</v>
      </c>
      <c r="C9" s="9" t="s">
        <v>8</v>
      </c>
      <c r="E9" s="13">
        <v>1.0</v>
      </c>
      <c r="F9" s="13">
        <v>0.5</v>
      </c>
      <c r="G9" s="13">
        <v>0.1</v>
      </c>
      <c r="I9" s="6"/>
    </row>
    <row r="10">
      <c r="A10" s="7"/>
      <c r="I10" s="6"/>
    </row>
    <row r="11">
      <c r="A11" s="4" t="s">
        <v>11</v>
      </c>
      <c r="I11" s="6"/>
    </row>
    <row r="12">
      <c r="A12" s="11" t="s">
        <v>12</v>
      </c>
      <c r="B12" s="15">
        <v>0.0</v>
      </c>
      <c r="C12" s="9" t="s">
        <v>8</v>
      </c>
      <c r="E12" s="13">
        <v>0.0</v>
      </c>
      <c r="F12" s="13">
        <v>0.0</v>
      </c>
      <c r="G12" s="13">
        <v>0.0</v>
      </c>
      <c r="I12" s="6"/>
    </row>
    <row r="13">
      <c r="A13" s="7"/>
      <c r="B13" s="17"/>
      <c r="I13" s="6"/>
    </row>
    <row r="14">
      <c r="A14" s="7"/>
      <c r="B14" s="17"/>
      <c r="I14" s="6"/>
    </row>
    <row r="15">
      <c r="A15" s="10" t="s">
        <v>13</v>
      </c>
      <c r="B15" s="17"/>
      <c r="I15" s="6"/>
    </row>
    <row r="16">
      <c r="A16" s="11" t="s">
        <v>12</v>
      </c>
      <c r="B16" s="15">
        <v>5.00024</v>
      </c>
      <c r="C16" s="9" t="s">
        <v>8</v>
      </c>
      <c r="E16" s="13">
        <v>0.0</v>
      </c>
      <c r="F16" s="13">
        <v>1.0</v>
      </c>
      <c r="G16" s="13">
        <v>1.0</v>
      </c>
      <c r="I16" s="6"/>
    </row>
    <row r="17">
      <c r="A17" s="11" t="s">
        <v>9</v>
      </c>
      <c r="B17" s="15">
        <v>5.00012</v>
      </c>
      <c r="C17" s="9" t="s">
        <v>8</v>
      </c>
      <c r="E17" s="13">
        <v>0.0</v>
      </c>
      <c r="F17" s="13">
        <v>0.0</v>
      </c>
      <c r="G17" s="13">
        <v>0.0</v>
      </c>
      <c r="I17" s="6"/>
    </row>
    <row r="18">
      <c r="A18" s="11" t="s">
        <v>14</v>
      </c>
      <c r="B18" s="18">
        <v>0.003</v>
      </c>
      <c r="C18" s="9" t="s">
        <v>8</v>
      </c>
      <c r="E18" s="13">
        <v>1.0</v>
      </c>
      <c r="F18" s="13">
        <v>0.0</v>
      </c>
      <c r="G18" s="13">
        <v>0.0</v>
      </c>
      <c r="I18" s="6"/>
    </row>
    <row r="19">
      <c r="A19" s="7"/>
      <c r="B19" s="17"/>
      <c r="I19" s="6"/>
    </row>
    <row r="20">
      <c r="A20" s="4" t="s">
        <v>15</v>
      </c>
      <c r="B20" s="17"/>
      <c r="I20" s="6"/>
    </row>
    <row r="21">
      <c r="A21" s="11" t="s">
        <v>12</v>
      </c>
      <c r="B21" s="15">
        <v>0.0</v>
      </c>
      <c r="C21" s="9" t="s">
        <v>8</v>
      </c>
      <c r="E21" s="13">
        <v>0.0</v>
      </c>
      <c r="F21" s="13">
        <v>0.0</v>
      </c>
      <c r="G21" s="13">
        <v>0.0</v>
      </c>
      <c r="I21" s="6"/>
    </row>
    <row r="22">
      <c r="A22" s="11" t="s">
        <v>16</v>
      </c>
      <c r="B22" s="15">
        <v>0.0</v>
      </c>
      <c r="C22" s="9" t="s">
        <v>8</v>
      </c>
      <c r="E22" s="13">
        <v>0.0</v>
      </c>
      <c r="F22" s="13">
        <v>0.0</v>
      </c>
      <c r="G22" s="13">
        <v>0.0</v>
      </c>
      <c r="I22" s="6"/>
    </row>
    <row r="23">
      <c r="A23" s="7"/>
      <c r="I23" s="6"/>
    </row>
    <row r="24">
      <c r="A24" s="10" t="s">
        <v>17</v>
      </c>
      <c r="I24" s="6"/>
      <c r="K24" s="1"/>
      <c r="L24" s="2"/>
      <c r="M24" s="2"/>
      <c r="N24" s="2"/>
      <c r="O24" s="2"/>
      <c r="P24" s="2"/>
      <c r="Q24" s="3"/>
    </row>
    <row r="25">
      <c r="A25" s="11" t="s">
        <v>18</v>
      </c>
      <c r="B25" s="19">
        <v>300.0</v>
      </c>
      <c r="C25" s="9" t="s">
        <v>19</v>
      </c>
      <c r="E25" s="13">
        <v>0.0</v>
      </c>
      <c r="F25" s="13">
        <v>0.0</v>
      </c>
      <c r="G25" s="13">
        <v>0.0</v>
      </c>
      <c r="I25" s="6"/>
      <c r="K25" s="7"/>
      <c r="L25" s="20" t="s">
        <v>20</v>
      </c>
      <c r="M25" s="21"/>
      <c r="N25" s="21"/>
      <c r="O25" s="20" t="s">
        <v>21</v>
      </c>
      <c r="P25" s="21"/>
      <c r="Q25" s="6"/>
    </row>
    <row r="26">
      <c r="A26" s="11" t="s">
        <v>22</v>
      </c>
      <c r="B26" s="15">
        <v>1.0</v>
      </c>
      <c r="C26" s="9" t="s">
        <v>8</v>
      </c>
      <c r="E26" s="13">
        <v>1.0</v>
      </c>
      <c r="F26" s="13">
        <v>0.9</v>
      </c>
      <c r="G26" s="13">
        <v>0.2</v>
      </c>
      <c r="I26" s="6"/>
      <c r="K26" s="7"/>
      <c r="L26" s="21" t="str">
        <f>E5</f>
        <v>"off"</v>
      </c>
      <c r="M26" s="21">
        <f>SUMPRODUCT(B7:B28, E7:E28)</f>
        <v>1.023</v>
      </c>
      <c r="N26" s="20" t="s">
        <v>8</v>
      </c>
      <c r="O26" s="22">
        <f t="shared" ref="O26:O28" si="1">$M$31/M26</f>
        <v>3779.569892</v>
      </c>
      <c r="P26" s="20" t="s">
        <v>23</v>
      </c>
      <c r="Q26" s="6"/>
    </row>
    <row r="27">
      <c r="A27" s="11" t="s">
        <v>24</v>
      </c>
      <c r="B27" s="15">
        <v>120.0</v>
      </c>
      <c r="C27" s="9" t="s">
        <v>8</v>
      </c>
      <c r="E27" s="13">
        <v>0.0</v>
      </c>
      <c r="F27" s="13">
        <v>0.05</v>
      </c>
      <c r="G27" s="13">
        <v>0.6</v>
      </c>
      <c r="I27" s="6"/>
      <c r="K27" s="7"/>
      <c r="L27" s="21" t="str">
        <f>F5</f>
        <v>"sensing"</v>
      </c>
      <c r="M27" s="21">
        <f>SUMPRODUCT(B7:B28, F7:F28)</f>
        <v>105.91024</v>
      </c>
      <c r="N27" s="20" t="s">
        <v>8</v>
      </c>
      <c r="O27" s="22">
        <f t="shared" si="1"/>
        <v>36.50732923</v>
      </c>
      <c r="P27" s="20" t="s">
        <v>23</v>
      </c>
      <c r="Q27" s="6"/>
    </row>
    <row r="28">
      <c r="A28" s="11" t="s">
        <v>25</v>
      </c>
      <c r="B28" s="15">
        <v>60.0</v>
      </c>
      <c r="C28" s="9" t="s">
        <v>8</v>
      </c>
      <c r="E28" s="13">
        <v>0.0</v>
      </c>
      <c r="F28" s="13">
        <v>0.05</v>
      </c>
      <c r="G28" s="13">
        <v>0.2</v>
      </c>
      <c r="I28" s="6"/>
      <c r="K28" s="7"/>
      <c r="L28" s="21" t="str">
        <f>G5</f>
        <v>"interactive"</v>
      </c>
      <c r="M28" s="21">
        <f>SUMPRODUCT(B7:B28, G7:G28)</f>
        <v>303.70224</v>
      </c>
      <c r="N28" s="20" t="s">
        <v>8</v>
      </c>
      <c r="O28" s="22">
        <f t="shared" si="1"/>
        <v>12.73121989</v>
      </c>
      <c r="P28" s="20" t="s">
        <v>23</v>
      </c>
      <c r="Q28" s="6"/>
    </row>
    <row r="29">
      <c r="A29" s="7"/>
      <c r="I29" s="6"/>
      <c r="K29" s="7"/>
      <c r="Q29" s="6"/>
    </row>
    <row r="30">
      <c r="A30" s="4"/>
      <c r="E30" s="19">
        <v>22.9</v>
      </c>
      <c r="F30" s="19">
        <v>1.0</v>
      </c>
      <c r="G30" s="19">
        <v>0.1</v>
      </c>
      <c r="H30" s="9" t="s">
        <v>26</v>
      </c>
      <c r="I30" s="6"/>
      <c r="K30" s="7"/>
      <c r="L30" s="9" t="s">
        <v>27</v>
      </c>
      <c r="Q30" s="6"/>
    </row>
    <row r="31">
      <c r="A31" s="10" t="s">
        <v>28</v>
      </c>
      <c r="I31" s="6"/>
      <c r="K31" s="7"/>
      <c r="M31" s="23">
        <f>B32*B33*B34</f>
        <v>3866.5</v>
      </c>
      <c r="N31" s="9" t="s">
        <v>29</v>
      </c>
      <c r="Q31" s="6"/>
    </row>
    <row r="32">
      <c r="A32" s="11" t="s">
        <v>30</v>
      </c>
      <c r="B32" s="15">
        <v>1100.0</v>
      </c>
      <c r="C32" s="9" t="s">
        <v>31</v>
      </c>
      <c r="I32" s="6"/>
      <c r="K32" s="7"/>
      <c r="Q32" s="6"/>
    </row>
    <row r="33">
      <c r="A33" s="11" t="s">
        <v>32</v>
      </c>
      <c r="B33" s="24">
        <v>3.7</v>
      </c>
      <c r="C33" s="9" t="s">
        <v>33</v>
      </c>
      <c r="I33" s="6"/>
      <c r="K33" s="7"/>
      <c r="L33" s="25" t="s">
        <v>34</v>
      </c>
      <c r="M33" s="26">
        <f>M31/(E30*M26+F30*M27+G30*M28)</f>
        <v>24.20993463</v>
      </c>
      <c r="N33" s="25" t="s">
        <v>35</v>
      </c>
      <c r="Q33" s="6"/>
    </row>
    <row r="34">
      <c r="A34" s="11" t="s">
        <v>36</v>
      </c>
      <c r="B34" s="13">
        <v>0.95</v>
      </c>
      <c r="I34" s="6"/>
      <c r="K34" s="7"/>
      <c r="L34" s="25" t="s">
        <v>37</v>
      </c>
      <c r="M34" s="26">
        <f>M33*24</f>
        <v>581.0384311</v>
      </c>
      <c r="N34" s="25" t="s">
        <v>23</v>
      </c>
      <c r="Q34" s="6"/>
    </row>
    <row r="35">
      <c r="A35" s="27"/>
      <c r="B35" s="28"/>
      <c r="C35" s="28"/>
      <c r="D35" s="28"/>
      <c r="E35" s="28"/>
      <c r="F35" s="28"/>
      <c r="G35" s="28"/>
      <c r="H35" s="28"/>
      <c r="I35" s="29"/>
      <c r="K35" s="27"/>
      <c r="L35" s="28"/>
      <c r="M35" s="28"/>
      <c r="N35" s="28"/>
      <c r="O35" s="28"/>
      <c r="P35" s="28"/>
      <c r="Q35" s="29"/>
    </row>
    <row r="38">
      <c r="A38" s="5" t="s">
        <v>38</v>
      </c>
    </row>
    <row r="39">
      <c r="A39" s="30" t="s">
        <v>39</v>
      </c>
    </row>
  </sheetData>
  <mergeCells count="1">
    <mergeCell ref="A39:K47"/>
  </mergeCells>
  <hyperlinks>
    <hyperlink r:id="rId1" ref="A6"/>
    <hyperlink r:id="rId2" ref="A15"/>
    <hyperlink r:id="rId3" ref="A24"/>
    <hyperlink r:id="rId4" ref="A3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0">
      <c r="A50" s="9" t="s">
        <v>40</v>
      </c>
    </row>
    <row r="52">
      <c r="A52" s="23" t="str">
        <f>'System Parameters'!A3</f>
        <v>System Parameters (defined by hardware)</v>
      </c>
      <c r="B52" s="23" t="str">
        <f>'System Parameters'!B3</f>
        <v/>
      </c>
      <c r="C52" s="23" t="str">
        <f>'System Parameters'!C3</f>
        <v/>
      </c>
      <c r="D52" s="23" t="str">
        <f>'System Parameters'!D3</f>
        <v/>
      </c>
      <c r="T52" s="23" t="str">
        <f>'System Parameters'!E3</f>
        <v>Profiles (usage of each component mode - defined by software and usage)</v>
      </c>
      <c r="U52" s="23" t="str">
        <f>'System Parameters'!F3</f>
        <v/>
      </c>
      <c r="V52" s="23" t="str">
        <f>'System Parameters'!G3</f>
        <v/>
      </c>
      <c r="W52" s="23" t="str">
        <f>'System Parameters'!H3</f>
        <v/>
      </c>
    </row>
    <row r="53">
      <c r="A53" s="23" t="str">
        <f>'System Parameters'!A4</f>
        <v/>
      </c>
      <c r="B53" s="23" t="str">
        <f>'System Parameters'!B4</f>
        <v>form the datasheets</v>
      </c>
      <c r="C53" s="23" t="str">
        <f>'System Parameters'!C4</f>
        <v/>
      </c>
      <c r="D53" s="23" t="str">
        <f>'System Parameters'!D4</f>
        <v/>
      </c>
      <c r="T53" s="23" t="str">
        <f>'System Parameters'!E4</f>
        <v/>
      </c>
      <c r="U53" s="23" t="str">
        <f>'System Parameters'!F4</f>
        <v/>
      </c>
      <c r="V53" s="23" t="str">
        <f>'System Parameters'!G4</f>
        <v/>
      </c>
      <c r="W53" s="23" t="str">
        <f>'System Parameters'!H4</f>
        <v/>
      </c>
    </row>
    <row r="54">
      <c r="A54" s="23" t="str">
        <f>'System Parameters'!A5</f>
        <v/>
      </c>
      <c r="B54" s="23" t="str">
        <f>'System Parameters'!B5</f>
        <v/>
      </c>
      <c r="C54" s="23" t="str">
        <f>'System Parameters'!C5</f>
        <v/>
      </c>
      <c r="D54" s="23" t="str">
        <f>'System Parameters'!D5</f>
        <v/>
      </c>
      <c r="T54" s="23" t="str">
        <f>'System Parameters'!E5</f>
        <v>"off"</v>
      </c>
      <c r="U54" s="23" t="str">
        <f>'System Parameters'!F5</f>
        <v>"sensing"</v>
      </c>
      <c r="V54" s="23" t="str">
        <f>'System Parameters'!G5</f>
        <v>"interactive"</v>
      </c>
      <c r="W54" s="23" t="str">
        <f>'System Parameters'!H5</f>
        <v/>
      </c>
    </row>
    <row r="55">
      <c r="A55" s="31" t="str">
        <f>'System Parameters'!A6</f>
        <v>Processor</v>
      </c>
      <c r="B55" s="23" t="str">
        <f>'System Parameters'!B6</f>
        <v/>
      </c>
      <c r="C55" s="23" t="str">
        <f>'System Parameters'!C6</f>
        <v/>
      </c>
      <c r="D55" s="23" t="str">
        <f>'System Parameters'!D6</f>
        <v/>
      </c>
      <c r="T55" s="23" t="str">
        <f>'System Parameters'!E6</f>
        <v/>
      </c>
      <c r="U55" s="23" t="str">
        <f>'System Parameters'!F6</f>
        <v/>
      </c>
      <c r="V55" s="23" t="str">
        <f>'System Parameters'!G6</f>
        <v/>
      </c>
      <c r="W55" s="23" t="str">
        <f>'System Parameters'!H6</f>
        <v/>
      </c>
    </row>
    <row r="56">
      <c r="A56" s="23" t="str">
        <f>'System Parameters'!A7</f>
        <v>Active</v>
      </c>
      <c r="B56" s="17">
        <f>'System Parameters'!B7</f>
        <v>260</v>
      </c>
      <c r="C56" s="23" t="str">
        <f>'System Parameters'!C7</f>
        <v>mW</v>
      </c>
      <c r="D56" s="23">
        <f>$B56*0.9</f>
        <v>234</v>
      </c>
      <c r="E56" s="17">
        <f t="shared" ref="E56:O56" si="1">$B56</f>
        <v>260</v>
      </c>
      <c r="F56" s="17">
        <f t="shared" si="1"/>
        <v>260</v>
      </c>
      <c r="G56" s="17">
        <f t="shared" si="1"/>
        <v>260</v>
      </c>
      <c r="H56" s="17">
        <f t="shared" si="1"/>
        <v>260</v>
      </c>
      <c r="I56" s="17">
        <f t="shared" si="1"/>
        <v>260</v>
      </c>
      <c r="J56" s="17">
        <f t="shared" si="1"/>
        <v>260</v>
      </c>
      <c r="K56" s="17">
        <f t="shared" si="1"/>
        <v>260</v>
      </c>
      <c r="L56" s="17">
        <f t="shared" si="1"/>
        <v>260</v>
      </c>
      <c r="M56" s="17">
        <f t="shared" si="1"/>
        <v>260</v>
      </c>
      <c r="N56" s="17">
        <f t="shared" si="1"/>
        <v>260</v>
      </c>
      <c r="O56" s="17">
        <f t="shared" si="1"/>
        <v>260</v>
      </c>
      <c r="T56" s="32">
        <f>'System Parameters'!E7</f>
        <v>0</v>
      </c>
      <c r="U56" s="32">
        <f>'System Parameters'!F7</f>
        <v>0.3</v>
      </c>
      <c r="V56" s="32">
        <f>'System Parameters'!G7</f>
        <v>0.8</v>
      </c>
      <c r="W56" s="23" t="str">
        <f>'System Parameters'!H7</f>
        <v/>
      </c>
    </row>
    <row r="57">
      <c r="A57" s="23" t="str">
        <f>'System Parameters'!A8</f>
        <v>Idle</v>
      </c>
      <c r="B57" s="17">
        <f>'System Parameters'!B8</f>
        <v>65</v>
      </c>
      <c r="C57" s="23" t="str">
        <f>'System Parameters'!C8</f>
        <v>mW</v>
      </c>
      <c r="D57" s="17">
        <f t="shared" ref="D57:D76" si="3">$B57</f>
        <v>65</v>
      </c>
      <c r="E57" s="23">
        <f>$B57*0.9</f>
        <v>58.5</v>
      </c>
      <c r="F57" s="17">
        <f t="shared" ref="F57:O57" si="2">$B57</f>
        <v>65</v>
      </c>
      <c r="G57" s="17">
        <f t="shared" si="2"/>
        <v>65</v>
      </c>
      <c r="H57" s="17">
        <f t="shared" si="2"/>
        <v>65</v>
      </c>
      <c r="I57" s="17">
        <f t="shared" si="2"/>
        <v>65</v>
      </c>
      <c r="J57" s="17">
        <f t="shared" si="2"/>
        <v>65</v>
      </c>
      <c r="K57" s="17">
        <f t="shared" si="2"/>
        <v>65</v>
      </c>
      <c r="L57" s="17">
        <f t="shared" si="2"/>
        <v>65</v>
      </c>
      <c r="M57" s="17">
        <f t="shared" si="2"/>
        <v>65</v>
      </c>
      <c r="N57" s="17">
        <f t="shared" si="2"/>
        <v>65</v>
      </c>
      <c r="O57" s="17">
        <f t="shared" si="2"/>
        <v>65</v>
      </c>
      <c r="T57" s="32">
        <f>'System Parameters'!E8</f>
        <v>0</v>
      </c>
      <c r="U57" s="32">
        <f>'System Parameters'!F8</f>
        <v>0.2</v>
      </c>
      <c r="V57" s="32">
        <f>'System Parameters'!G8</f>
        <v>0.1</v>
      </c>
      <c r="W57" s="23" t="str">
        <f>'System Parameters'!H8</f>
        <v/>
      </c>
    </row>
    <row r="58">
      <c r="A58" s="23" t="str">
        <f>'System Parameters'!A9</f>
        <v>Sleep</v>
      </c>
      <c r="B58" s="33">
        <f>'System Parameters'!B9</f>
        <v>0.02</v>
      </c>
      <c r="C58" s="23" t="str">
        <f>'System Parameters'!C9</f>
        <v>mW</v>
      </c>
      <c r="D58" s="33">
        <f t="shared" si="3"/>
        <v>0.02</v>
      </c>
      <c r="E58" s="33">
        <f t="shared" ref="E58:E76" si="5">$B58</f>
        <v>0.02</v>
      </c>
      <c r="F58" s="23">
        <f>$B58*0.9</f>
        <v>0.018</v>
      </c>
      <c r="G58" s="33">
        <f t="shared" ref="G58:O58" si="4">$B58</f>
        <v>0.02</v>
      </c>
      <c r="H58" s="33">
        <f t="shared" si="4"/>
        <v>0.02</v>
      </c>
      <c r="I58" s="33">
        <f t="shared" si="4"/>
        <v>0.02</v>
      </c>
      <c r="J58" s="33">
        <f t="shared" si="4"/>
        <v>0.02</v>
      </c>
      <c r="K58" s="33">
        <f t="shared" si="4"/>
        <v>0.02</v>
      </c>
      <c r="L58" s="33">
        <f t="shared" si="4"/>
        <v>0.02</v>
      </c>
      <c r="M58" s="33">
        <f t="shared" si="4"/>
        <v>0.02</v>
      </c>
      <c r="N58" s="33">
        <f t="shared" si="4"/>
        <v>0.02</v>
      </c>
      <c r="O58" s="33">
        <f t="shared" si="4"/>
        <v>0.02</v>
      </c>
      <c r="T58" s="32">
        <f>'System Parameters'!E9</f>
        <v>1</v>
      </c>
      <c r="U58" s="32">
        <f>'System Parameters'!F9</f>
        <v>0.5</v>
      </c>
      <c r="V58" s="32">
        <f>'System Parameters'!G9</f>
        <v>0.1</v>
      </c>
      <c r="W58" s="23" t="str">
        <f>'System Parameters'!H9</f>
        <v/>
      </c>
    </row>
    <row r="59">
      <c r="A59" s="23" t="str">
        <f>'System Parameters'!A10</f>
        <v/>
      </c>
      <c r="B59" s="23" t="str">
        <f>'System Parameters'!B10</f>
        <v/>
      </c>
      <c r="C59" s="23" t="str">
        <f>'System Parameters'!C10</f>
        <v/>
      </c>
      <c r="D59" s="23" t="str">
        <f t="shared" si="3"/>
        <v/>
      </c>
      <c r="E59" s="23" t="str">
        <f t="shared" si="5"/>
        <v/>
      </c>
      <c r="F59" s="23" t="str">
        <f t="shared" ref="F59:O59" si="6">$B59</f>
        <v/>
      </c>
      <c r="G59" s="23" t="str">
        <f t="shared" si="6"/>
        <v/>
      </c>
      <c r="H59" s="23" t="str">
        <f t="shared" si="6"/>
        <v/>
      </c>
      <c r="I59" s="23" t="str">
        <f t="shared" si="6"/>
        <v/>
      </c>
      <c r="J59" s="23" t="str">
        <f t="shared" si="6"/>
        <v/>
      </c>
      <c r="K59" s="23" t="str">
        <f t="shared" si="6"/>
        <v/>
      </c>
      <c r="L59" s="23" t="str">
        <f t="shared" si="6"/>
        <v/>
      </c>
      <c r="M59" s="23" t="str">
        <f t="shared" si="6"/>
        <v/>
      </c>
      <c r="N59" s="23" t="str">
        <f t="shared" si="6"/>
        <v/>
      </c>
      <c r="O59" s="23" t="str">
        <f t="shared" si="6"/>
        <v/>
      </c>
      <c r="T59" s="23" t="str">
        <f>'System Parameters'!E10</f>
        <v/>
      </c>
      <c r="U59" s="23" t="str">
        <f>'System Parameters'!F10</f>
        <v/>
      </c>
      <c r="V59" s="23" t="str">
        <f>'System Parameters'!G10</f>
        <v/>
      </c>
      <c r="W59" s="23" t="str">
        <f>'System Parameters'!H10</f>
        <v/>
      </c>
    </row>
    <row r="60">
      <c r="A60" s="23" t="str">
        <f>'System Parameters'!A11</f>
        <v>LED</v>
      </c>
      <c r="B60" s="23" t="str">
        <f>'System Parameters'!B11</f>
        <v/>
      </c>
      <c r="C60" s="23" t="str">
        <f>'System Parameters'!C11</f>
        <v/>
      </c>
      <c r="D60" s="23" t="str">
        <f t="shared" si="3"/>
        <v/>
      </c>
      <c r="E60" s="23" t="str">
        <f t="shared" si="5"/>
        <v/>
      </c>
      <c r="F60" s="23" t="str">
        <f t="shared" ref="F60:O60" si="7">$B60</f>
        <v/>
      </c>
      <c r="G60" s="23" t="str">
        <f t="shared" si="7"/>
        <v/>
      </c>
      <c r="H60" s="23" t="str">
        <f t="shared" si="7"/>
        <v/>
      </c>
      <c r="I60" s="23" t="str">
        <f t="shared" si="7"/>
        <v/>
      </c>
      <c r="J60" s="23" t="str">
        <f t="shared" si="7"/>
        <v/>
      </c>
      <c r="K60" s="23" t="str">
        <f t="shared" si="7"/>
        <v/>
      </c>
      <c r="L60" s="23" t="str">
        <f t="shared" si="7"/>
        <v/>
      </c>
      <c r="M60" s="23" t="str">
        <f t="shared" si="7"/>
        <v/>
      </c>
      <c r="N60" s="23" t="str">
        <f t="shared" si="7"/>
        <v/>
      </c>
      <c r="O60" s="23" t="str">
        <f t="shared" si="7"/>
        <v/>
      </c>
      <c r="T60" s="23" t="str">
        <f>'System Parameters'!E11</f>
        <v/>
      </c>
      <c r="U60" s="23" t="str">
        <f>'System Parameters'!F11</f>
        <v/>
      </c>
      <c r="V60" s="23" t="str">
        <f>'System Parameters'!G11</f>
        <v/>
      </c>
      <c r="W60" s="23" t="str">
        <f>'System Parameters'!H11</f>
        <v/>
      </c>
    </row>
    <row r="61">
      <c r="A61" s="23" t="str">
        <f>'System Parameters'!A12</f>
        <v>On</v>
      </c>
      <c r="B61" s="17">
        <f>'System Parameters'!B12</f>
        <v>0</v>
      </c>
      <c r="C61" s="23" t="str">
        <f>'System Parameters'!C12</f>
        <v>mW</v>
      </c>
      <c r="D61" s="17">
        <f t="shared" si="3"/>
        <v>0</v>
      </c>
      <c r="E61" s="17">
        <f t="shared" si="5"/>
        <v>0</v>
      </c>
      <c r="F61" s="17">
        <f t="shared" ref="F61:F76" si="9">$B61</f>
        <v>0</v>
      </c>
      <c r="G61" s="23">
        <f>$B61*0.9</f>
        <v>0</v>
      </c>
      <c r="H61" s="17">
        <f t="shared" ref="H61:O61" si="8">$B61</f>
        <v>0</v>
      </c>
      <c r="I61" s="17">
        <f t="shared" si="8"/>
        <v>0</v>
      </c>
      <c r="J61" s="17">
        <f t="shared" si="8"/>
        <v>0</v>
      </c>
      <c r="K61" s="17">
        <f t="shared" si="8"/>
        <v>0</v>
      </c>
      <c r="L61" s="17">
        <f t="shared" si="8"/>
        <v>0</v>
      </c>
      <c r="M61" s="17">
        <f t="shared" si="8"/>
        <v>0</v>
      </c>
      <c r="N61" s="17">
        <f t="shared" si="8"/>
        <v>0</v>
      </c>
      <c r="O61" s="17">
        <f t="shared" si="8"/>
        <v>0</v>
      </c>
      <c r="T61" s="32">
        <f>'System Parameters'!E12</f>
        <v>0</v>
      </c>
      <c r="U61" s="32">
        <f>'System Parameters'!F12</f>
        <v>0</v>
      </c>
      <c r="V61" s="32">
        <f>'System Parameters'!G12</f>
        <v>0</v>
      </c>
      <c r="W61" s="23" t="str">
        <f>'System Parameters'!H12</f>
        <v/>
      </c>
    </row>
    <row r="62">
      <c r="A62" s="23" t="str">
        <f>'System Parameters'!A13</f>
        <v/>
      </c>
      <c r="B62" s="17" t="str">
        <f>'System Parameters'!B13</f>
        <v/>
      </c>
      <c r="C62" s="23" t="str">
        <f>'System Parameters'!C13</f>
        <v/>
      </c>
      <c r="D62" s="17" t="str">
        <f t="shared" si="3"/>
        <v/>
      </c>
      <c r="E62" s="17" t="str">
        <f t="shared" si="5"/>
        <v/>
      </c>
      <c r="F62" s="17" t="str">
        <f t="shared" si="9"/>
        <v/>
      </c>
      <c r="G62" s="17" t="str">
        <f t="shared" ref="G62:O62" si="10">$B62</f>
        <v/>
      </c>
      <c r="H62" s="17" t="str">
        <f t="shared" si="10"/>
        <v/>
      </c>
      <c r="I62" s="17" t="str">
        <f t="shared" si="10"/>
        <v/>
      </c>
      <c r="J62" s="17" t="str">
        <f t="shared" si="10"/>
        <v/>
      </c>
      <c r="K62" s="17" t="str">
        <f t="shared" si="10"/>
        <v/>
      </c>
      <c r="L62" s="17" t="str">
        <f t="shared" si="10"/>
        <v/>
      </c>
      <c r="M62" s="17" t="str">
        <f t="shared" si="10"/>
        <v/>
      </c>
      <c r="N62" s="17" t="str">
        <f t="shared" si="10"/>
        <v/>
      </c>
      <c r="O62" s="17" t="str">
        <f t="shared" si="10"/>
        <v/>
      </c>
      <c r="T62" s="23" t="str">
        <f>'System Parameters'!E13</f>
        <v/>
      </c>
      <c r="U62" s="23" t="str">
        <f>'System Parameters'!F13</f>
        <v/>
      </c>
      <c r="V62" s="23" t="str">
        <f>'System Parameters'!G13</f>
        <v/>
      </c>
      <c r="W62" s="23" t="str">
        <f>'System Parameters'!H13</f>
        <v/>
      </c>
    </row>
    <row r="63">
      <c r="A63" s="23" t="str">
        <f>'System Parameters'!A14</f>
        <v/>
      </c>
      <c r="B63" s="17" t="str">
        <f>'System Parameters'!B14</f>
        <v/>
      </c>
      <c r="C63" s="23" t="str">
        <f>'System Parameters'!C14</f>
        <v/>
      </c>
      <c r="D63" s="17" t="str">
        <f t="shared" si="3"/>
        <v/>
      </c>
      <c r="E63" s="17" t="str">
        <f t="shared" si="5"/>
        <v/>
      </c>
      <c r="F63" s="17" t="str">
        <f t="shared" si="9"/>
        <v/>
      </c>
      <c r="G63" s="17" t="str">
        <f t="shared" ref="G63:O63" si="11">$B63</f>
        <v/>
      </c>
      <c r="H63" s="17" t="str">
        <f t="shared" si="11"/>
        <v/>
      </c>
      <c r="I63" s="17" t="str">
        <f t="shared" si="11"/>
        <v/>
      </c>
      <c r="J63" s="17" t="str">
        <f t="shared" si="11"/>
        <v/>
      </c>
      <c r="K63" s="17" t="str">
        <f t="shared" si="11"/>
        <v/>
      </c>
      <c r="L63" s="17" t="str">
        <f t="shared" si="11"/>
        <v/>
      </c>
      <c r="M63" s="17" t="str">
        <f t="shared" si="11"/>
        <v/>
      </c>
      <c r="N63" s="17" t="str">
        <f t="shared" si="11"/>
        <v/>
      </c>
      <c r="O63" s="17" t="str">
        <f t="shared" si="11"/>
        <v/>
      </c>
      <c r="T63" s="23" t="str">
        <f>'System Parameters'!E14</f>
        <v/>
      </c>
      <c r="U63" s="23" t="str">
        <f>'System Parameters'!F14</f>
        <v/>
      </c>
      <c r="V63" s="23" t="str">
        <f>'System Parameters'!G14</f>
        <v/>
      </c>
      <c r="W63" s="23" t="str">
        <f>'System Parameters'!H14</f>
        <v/>
      </c>
    </row>
    <row r="64">
      <c r="A64" s="31" t="str">
        <f>'System Parameters'!A15</f>
        <v>Sensor</v>
      </c>
      <c r="B64" s="17" t="str">
        <f>'System Parameters'!B15</f>
        <v/>
      </c>
      <c r="C64" s="23" t="str">
        <f>'System Parameters'!C15</f>
        <v/>
      </c>
      <c r="D64" s="17" t="str">
        <f t="shared" si="3"/>
        <v/>
      </c>
      <c r="E64" s="17" t="str">
        <f t="shared" si="5"/>
        <v/>
      </c>
      <c r="F64" s="17" t="str">
        <f t="shared" si="9"/>
        <v/>
      </c>
      <c r="G64" s="17" t="str">
        <f t="shared" ref="G64:O64" si="12">$B64</f>
        <v/>
      </c>
      <c r="H64" s="17" t="str">
        <f t="shared" si="12"/>
        <v/>
      </c>
      <c r="I64" s="17" t="str">
        <f t="shared" si="12"/>
        <v/>
      </c>
      <c r="J64" s="17" t="str">
        <f t="shared" si="12"/>
        <v/>
      </c>
      <c r="K64" s="17" t="str">
        <f t="shared" si="12"/>
        <v/>
      </c>
      <c r="L64" s="17" t="str">
        <f t="shared" si="12"/>
        <v/>
      </c>
      <c r="M64" s="17" t="str">
        <f t="shared" si="12"/>
        <v/>
      </c>
      <c r="N64" s="17" t="str">
        <f t="shared" si="12"/>
        <v/>
      </c>
      <c r="O64" s="17" t="str">
        <f t="shared" si="12"/>
        <v/>
      </c>
      <c r="T64" s="23" t="str">
        <f>'System Parameters'!E15</f>
        <v/>
      </c>
      <c r="U64" s="23" t="str">
        <f>'System Parameters'!F15</f>
        <v/>
      </c>
      <c r="V64" s="23" t="str">
        <f>'System Parameters'!G15</f>
        <v/>
      </c>
      <c r="W64" s="23" t="str">
        <f>'System Parameters'!H15</f>
        <v/>
      </c>
    </row>
    <row r="65">
      <c r="A65" s="23" t="str">
        <f>'System Parameters'!A16</f>
        <v>On</v>
      </c>
      <c r="B65" s="17">
        <f>'System Parameters'!B16</f>
        <v>5.00024</v>
      </c>
      <c r="C65" s="23" t="str">
        <f>'System Parameters'!C16</f>
        <v>mW</v>
      </c>
      <c r="D65" s="17">
        <f t="shared" si="3"/>
        <v>5.00024</v>
      </c>
      <c r="E65" s="17">
        <f t="shared" si="5"/>
        <v>5.00024</v>
      </c>
      <c r="F65" s="17">
        <f t="shared" si="9"/>
        <v>5.00024</v>
      </c>
      <c r="G65" s="17">
        <f t="shared" ref="G65:G76" si="14">$B65</f>
        <v>5.00024</v>
      </c>
      <c r="H65" s="23">
        <f>$B65*0.9</f>
        <v>4.500216</v>
      </c>
      <c r="I65" s="17">
        <f t="shared" ref="I65:O65" si="13">$B65</f>
        <v>5.00024</v>
      </c>
      <c r="J65" s="17">
        <f t="shared" si="13"/>
        <v>5.00024</v>
      </c>
      <c r="K65" s="17">
        <f t="shared" si="13"/>
        <v>5.00024</v>
      </c>
      <c r="L65" s="17">
        <f t="shared" si="13"/>
        <v>5.00024</v>
      </c>
      <c r="M65" s="17">
        <f t="shared" si="13"/>
        <v>5.00024</v>
      </c>
      <c r="N65" s="17">
        <f t="shared" si="13"/>
        <v>5.00024</v>
      </c>
      <c r="O65" s="17">
        <f t="shared" si="13"/>
        <v>5.00024</v>
      </c>
      <c r="T65" s="32">
        <f>'System Parameters'!E16</f>
        <v>0</v>
      </c>
      <c r="U65" s="32">
        <f>'System Parameters'!F16</f>
        <v>1</v>
      </c>
      <c r="V65" s="32">
        <f>'System Parameters'!G16</f>
        <v>1</v>
      </c>
      <c r="W65" s="23" t="str">
        <f>'System Parameters'!H16</f>
        <v/>
      </c>
    </row>
    <row r="66">
      <c r="A66" s="23" t="str">
        <f>'System Parameters'!A17</f>
        <v>Idle</v>
      </c>
      <c r="B66" s="17">
        <f>'System Parameters'!B17</f>
        <v>5.00012</v>
      </c>
      <c r="C66" s="23" t="str">
        <f>'System Parameters'!C17</f>
        <v>mW</v>
      </c>
      <c r="D66" s="17">
        <f t="shared" si="3"/>
        <v>5.00012</v>
      </c>
      <c r="E66" s="17">
        <f t="shared" si="5"/>
        <v>5.00012</v>
      </c>
      <c r="F66" s="17">
        <f t="shared" si="9"/>
        <v>5.00012</v>
      </c>
      <c r="G66" s="17">
        <f t="shared" si="14"/>
        <v>5.00012</v>
      </c>
      <c r="H66" s="17">
        <f t="shared" ref="H66:H76" si="16">$B66</f>
        <v>5.00012</v>
      </c>
      <c r="I66" s="23">
        <f>$B66*0.9</f>
        <v>4.500108</v>
      </c>
      <c r="J66" s="17">
        <f t="shared" ref="J66:O66" si="15">$B66</f>
        <v>5.00012</v>
      </c>
      <c r="K66" s="17">
        <f t="shared" si="15"/>
        <v>5.00012</v>
      </c>
      <c r="L66" s="17">
        <f t="shared" si="15"/>
        <v>5.00012</v>
      </c>
      <c r="M66" s="17">
        <f t="shared" si="15"/>
        <v>5.00012</v>
      </c>
      <c r="N66" s="17">
        <f t="shared" si="15"/>
        <v>5.00012</v>
      </c>
      <c r="O66" s="17">
        <f t="shared" si="15"/>
        <v>5.00012</v>
      </c>
      <c r="T66" s="32">
        <f>'System Parameters'!E17</f>
        <v>0</v>
      </c>
      <c r="U66" s="32">
        <f>'System Parameters'!F17</f>
        <v>0</v>
      </c>
      <c r="V66" s="32">
        <f>'System Parameters'!G17</f>
        <v>0</v>
      </c>
      <c r="W66" s="23" t="str">
        <f>'System Parameters'!H17</f>
        <v/>
      </c>
    </row>
    <row r="67">
      <c r="A67" s="23" t="str">
        <f>'System Parameters'!A18</f>
        <v>Off</v>
      </c>
      <c r="B67" s="34">
        <f>'System Parameters'!B18</f>
        <v>0.003</v>
      </c>
      <c r="C67" s="23" t="str">
        <f>'System Parameters'!C18</f>
        <v>mW</v>
      </c>
      <c r="D67" s="34">
        <f t="shared" si="3"/>
        <v>0.003</v>
      </c>
      <c r="E67" s="34">
        <f t="shared" si="5"/>
        <v>0.003</v>
      </c>
      <c r="F67" s="34">
        <f t="shared" si="9"/>
        <v>0.003</v>
      </c>
      <c r="G67" s="34">
        <f t="shared" si="14"/>
        <v>0.003</v>
      </c>
      <c r="H67" s="34">
        <f t="shared" si="16"/>
        <v>0.003</v>
      </c>
      <c r="I67" s="34">
        <f t="shared" ref="I67:I76" si="18">$B67</f>
        <v>0.003</v>
      </c>
      <c r="J67" s="23">
        <f>$B67*0.9</f>
        <v>0.0027</v>
      </c>
      <c r="K67" s="34">
        <f t="shared" ref="K67:O67" si="17">$B67</f>
        <v>0.003</v>
      </c>
      <c r="L67" s="34">
        <f t="shared" si="17"/>
        <v>0.003</v>
      </c>
      <c r="M67" s="34">
        <f t="shared" si="17"/>
        <v>0.003</v>
      </c>
      <c r="N67" s="34">
        <f t="shared" si="17"/>
        <v>0.003</v>
      </c>
      <c r="O67" s="34">
        <f t="shared" si="17"/>
        <v>0.003</v>
      </c>
      <c r="T67" s="32">
        <f>'System Parameters'!E18</f>
        <v>1</v>
      </c>
      <c r="U67" s="32">
        <f>'System Parameters'!F18</f>
        <v>0</v>
      </c>
      <c r="V67" s="32">
        <f>'System Parameters'!G18</f>
        <v>0</v>
      </c>
      <c r="W67" s="23" t="str">
        <f>'System Parameters'!H18</f>
        <v/>
      </c>
    </row>
    <row r="68">
      <c r="A68" s="23" t="str">
        <f>'System Parameters'!A19</f>
        <v/>
      </c>
      <c r="B68" s="17" t="str">
        <f>'System Parameters'!B19</f>
        <v/>
      </c>
      <c r="C68" s="23" t="str">
        <f>'System Parameters'!C19</f>
        <v/>
      </c>
      <c r="D68" s="17" t="str">
        <f t="shared" si="3"/>
        <v/>
      </c>
      <c r="E68" s="17" t="str">
        <f t="shared" si="5"/>
        <v/>
      </c>
      <c r="F68" s="17" t="str">
        <f t="shared" si="9"/>
        <v/>
      </c>
      <c r="G68" s="17" t="str">
        <f t="shared" si="14"/>
        <v/>
      </c>
      <c r="H68" s="17" t="str">
        <f t="shared" si="16"/>
        <v/>
      </c>
      <c r="I68" s="17" t="str">
        <f t="shared" si="18"/>
        <v/>
      </c>
      <c r="J68" s="17" t="str">
        <f t="shared" ref="J68:O68" si="19">$B68</f>
        <v/>
      </c>
      <c r="K68" s="17" t="str">
        <f t="shared" si="19"/>
        <v/>
      </c>
      <c r="L68" s="17" t="str">
        <f t="shared" si="19"/>
        <v/>
      </c>
      <c r="M68" s="17" t="str">
        <f t="shared" si="19"/>
        <v/>
      </c>
      <c r="N68" s="17" t="str">
        <f t="shared" si="19"/>
        <v/>
      </c>
      <c r="O68" s="17" t="str">
        <f t="shared" si="19"/>
        <v/>
      </c>
      <c r="T68" s="23" t="str">
        <f>'System Parameters'!E19</f>
        <v/>
      </c>
      <c r="U68" s="23" t="str">
        <f>'System Parameters'!F19</f>
        <v/>
      </c>
      <c r="V68" s="23" t="str">
        <f>'System Parameters'!G19</f>
        <v/>
      </c>
      <c r="W68" s="23" t="str">
        <f>'System Parameters'!H19</f>
        <v/>
      </c>
    </row>
    <row r="69">
      <c r="A69" s="23" t="str">
        <f>'System Parameters'!A20</f>
        <v>Display</v>
      </c>
      <c r="B69" s="17" t="str">
        <f>'System Parameters'!B20</f>
        <v/>
      </c>
      <c r="C69" s="23" t="str">
        <f>'System Parameters'!C20</f>
        <v/>
      </c>
      <c r="D69" s="17" t="str">
        <f t="shared" si="3"/>
        <v/>
      </c>
      <c r="E69" s="17" t="str">
        <f t="shared" si="5"/>
        <v/>
      </c>
      <c r="F69" s="17" t="str">
        <f t="shared" si="9"/>
        <v/>
      </c>
      <c r="G69" s="17" t="str">
        <f t="shared" si="14"/>
        <v/>
      </c>
      <c r="H69" s="17" t="str">
        <f t="shared" si="16"/>
        <v/>
      </c>
      <c r="I69" s="17" t="str">
        <f t="shared" si="18"/>
        <v/>
      </c>
      <c r="J69" s="17" t="str">
        <f t="shared" ref="J69:O69" si="20">$B69</f>
        <v/>
      </c>
      <c r="K69" s="17" t="str">
        <f t="shared" si="20"/>
        <v/>
      </c>
      <c r="L69" s="17" t="str">
        <f t="shared" si="20"/>
        <v/>
      </c>
      <c r="M69" s="17" t="str">
        <f t="shared" si="20"/>
        <v/>
      </c>
      <c r="N69" s="17" t="str">
        <f t="shared" si="20"/>
        <v/>
      </c>
      <c r="O69" s="17" t="str">
        <f t="shared" si="20"/>
        <v/>
      </c>
      <c r="T69" s="23" t="str">
        <f>'System Parameters'!E20</f>
        <v/>
      </c>
      <c r="U69" s="23" t="str">
        <f>'System Parameters'!F20</f>
        <v/>
      </c>
      <c r="V69" s="23" t="str">
        <f>'System Parameters'!G20</f>
        <v/>
      </c>
      <c r="W69" s="23" t="str">
        <f>'System Parameters'!H20</f>
        <v/>
      </c>
    </row>
    <row r="70">
      <c r="A70" s="23" t="str">
        <f>'System Parameters'!A21</f>
        <v>On</v>
      </c>
      <c r="B70" s="17">
        <f>'System Parameters'!B21</f>
        <v>0</v>
      </c>
      <c r="C70" s="23" t="str">
        <f>'System Parameters'!C21</f>
        <v>mW</v>
      </c>
      <c r="D70" s="17">
        <f t="shared" si="3"/>
        <v>0</v>
      </c>
      <c r="E70" s="17">
        <f t="shared" si="5"/>
        <v>0</v>
      </c>
      <c r="F70" s="17">
        <f t="shared" si="9"/>
        <v>0</v>
      </c>
      <c r="G70" s="17">
        <f t="shared" si="14"/>
        <v>0</v>
      </c>
      <c r="H70" s="17">
        <f t="shared" si="16"/>
        <v>0</v>
      </c>
      <c r="I70" s="17">
        <f t="shared" si="18"/>
        <v>0</v>
      </c>
      <c r="J70" s="17">
        <f t="shared" ref="J70:J76" si="22">$B70</f>
        <v>0</v>
      </c>
      <c r="K70" s="23">
        <f>$B70*0.9</f>
        <v>0</v>
      </c>
      <c r="L70" s="17">
        <f t="shared" ref="L70:O70" si="21">$B70</f>
        <v>0</v>
      </c>
      <c r="M70" s="17">
        <f t="shared" si="21"/>
        <v>0</v>
      </c>
      <c r="N70" s="17">
        <f t="shared" si="21"/>
        <v>0</v>
      </c>
      <c r="O70" s="17">
        <f t="shared" si="21"/>
        <v>0</v>
      </c>
      <c r="T70" s="32">
        <f>'System Parameters'!E21</f>
        <v>0</v>
      </c>
      <c r="U70" s="32">
        <f>'System Parameters'!F21</f>
        <v>0</v>
      </c>
      <c r="V70" s="32">
        <f>'System Parameters'!G21</f>
        <v>0</v>
      </c>
      <c r="W70" s="23" t="str">
        <f>'System Parameters'!H21</f>
        <v/>
      </c>
    </row>
    <row r="71">
      <c r="A71" s="23" t="str">
        <f>'System Parameters'!A22</f>
        <v>Off (leakage)</v>
      </c>
      <c r="B71" s="17">
        <f>'System Parameters'!B22</f>
        <v>0</v>
      </c>
      <c r="C71" s="23" t="str">
        <f>'System Parameters'!C22</f>
        <v>mW</v>
      </c>
      <c r="D71" s="17">
        <f t="shared" si="3"/>
        <v>0</v>
      </c>
      <c r="E71" s="17">
        <f t="shared" si="5"/>
        <v>0</v>
      </c>
      <c r="F71" s="17">
        <f t="shared" si="9"/>
        <v>0</v>
      </c>
      <c r="G71" s="17">
        <f t="shared" si="14"/>
        <v>0</v>
      </c>
      <c r="H71" s="17">
        <f t="shared" si="16"/>
        <v>0</v>
      </c>
      <c r="I71" s="17">
        <f t="shared" si="18"/>
        <v>0</v>
      </c>
      <c r="J71" s="17">
        <f t="shared" si="22"/>
        <v>0</v>
      </c>
      <c r="K71" s="17">
        <f t="shared" ref="K71:K76" si="24">$B71</f>
        <v>0</v>
      </c>
      <c r="L71" s="23">
        <f>$B71*0.9</f>
        <v>0</v>
      </c>
      <c r="M71" s="17">
        <f t="shared" ref="M71:O71" si="23">$B71</f>
        <v>0</v>
      </c>
      <c r="N71" s="17">
        <f t="shared" si="23"/>
        <v>0</v>
      </c>
      <c r="O71" s="17">
        <f t="shared" si="23"/>
        <v>0</v>
      </c>
      <c r="T71" s="32">
        <f>'System Parameters'!E22</f>
        <v>0</v>
      </c>
      <c r="U71" s="32">
        <f>'System Parameters'!F22</f>
        <v>0</v>
      </c>
      <c r="V71" s="32">
        <f>'System Parameters'!G22</f>
        <v>0</v>
      </c>
      <c r="W71" s="23" t="str">
        <f>'System Parameters'!H22</f>
        <v/>
      </c>
    </row>
    <row r="72">
      <c r="A72" s="23" t="str">
        <f>'System Parameters'!A23</f>
        <v/>
      </c>
      <c r="B72" s="23" t="str">
        <f>'System Parameters'!B23</f>
        <v/>
      </c>
      <c r="C72" s="23" t="str">
        <f>'System Parameters'!C23</f>
        <v/>
      </c>
      <c r="D72" s="23" t="str">
        <f t="shared" si="3"/>
        <v/>
      </c>
      <c r="E72" s="23" t="str">
        <f t="shared" si="5"/>
        <v/>
      </c>
      <c r="F72" s="23" t="str">
        <f t="shared" si="9"/>
        <v/>
      </c>
      <c r="G72" s="23" t="str">
        <f t="shared" si="14"/>
        <v/>
      </c>
      <c r="H72" s="23" t="str">
        <f t="shared" si="16"/>
        <v/>
      </c>
      <c r="I72" s="23" t="str">
        <f t="shared" si="18"/>
        <v/>
      </c>
      <c r="J72" s="23" t="str">
        <f t="shared" si="22"/>
        <v/>
      </c>
      <c r="K72" s="23" t="str">
        <f t="shared" si="24"/>
        <v/>
      </c>
      <c r="L72" s="23" t="str">
        <f t="shared" ref="L72:O72" si="25">$B72</f>
        <v/>
      </c>
      <c r="M72" s="23" t="str">
        <f t="shared" si="25"/>
        <v/>
      </c>
      <c r="N72" s="23" t="str">
        <f t="shared" si="25"/>
        <v/>
      </c>
      <c r="O72" s="23" t="str">
        <f t="shared" si="25"/>
        <v/>
      </c>
      <c r="T72" s="23" t="str">
        <f>'System Parameters'!E23</f>
        <v/>
      </c>
      <c r="U72" s="23" t="str">
        <f>'System Parameters'!F23</f>
        <v/>
      </c>
      <c r="V72" s="23" t="str">
        <f>'System Parameters'!G23</f>
        <v/>
      </c>
      <c r="W72" s="23" t="str">
        <f>'System Parameters'!H23</f>
        <v/>
      </c>
    </row>
    <row r="73">
      <c r="A73" s="31" t="str">
        <f>'System Parameters'!A24</f>
        <v>Radio</v>
      </c>
      <c r="B73" s="23" t="str">
        <f>'System Parameters'!B24</f>
        <v/>
      </c>
      <c r="C73" s="23" t="str">
        <f>'System Parameters'!C24</f>
        <v/>
      </c>
      <c r="D73" s="23" t="str">
        <f t="shared" si="3"/>
        <v/>
      </c>
      <c r="E73" s="23" t="str">
        <f t="shared" si="5"/>
        <v/>
      </c>
      <c r="F73" s="23" t="str">
        <f t="shared" si="9"/>
        <v/>
      </c>
      <c r="G73" s="23" t="str">
        <f t="shared" si="14"/>
        <v/>
      </c>
      <c r="H73" s="23" t="str">
        <f t="shared" si="16"/>
        <v/>
      </c>
      <c r="I73" s="23" t="str">
        <f t="shared" si="18"/>
        <v/>
      </c>
      <c r="J73" s="23" t="str">
        <f t="shared" si="22"/>
        <v/>
      </c>
      <c r="K73" s="23" t="str">
        <f t="shared" si="24"/>
        <v/>
      </c>
      <c r="L73" s="23" t="str">
        <f t="shared" ref="L73:O73" si="26">$B73</f>
        <v/>
      </c>
      <c r="M73" s="23" t="str">
        <f t="shared" si="26"/>
        <v/>
      </c>
      <c r="N73" s="23" t="str">
        <f t="shared" si="26"/>
        <v/>
      </c>
      <c r="O73" s="23" t="str">
        <f t="shared" si="26"/>
        <v/>
      </c>
      <c r="T73" s="23" t="str">
        <f>'System Parameters'!E24</f>
        <v/>
      </c>
      <c r="U73" s="23" t="str">
        <f>'System Parameters'!F24</f>
        <v/>
      </c>
      <c r="V73" s="23" t="str">
        <f>'System Parameters'!G24</f>
        <v/>
      </c>
      <c r="W73" s="23" t="str">
        <f>'System Parameters'!H24</f>
        <v/>
      </c>
    </row>
    <row r="74">
      <c r="A74" s="23" t="str">
        <f>'System Parameters'!A26</f>
        <v>Standby Power</v>
      </c>
      <c r="B74" s="17">
        <f>'System Parameters'!B26</f>
        <v>1</v>
      </c>
      <c r="C74" s="23" t="str">
        <f>'System Parameters'!C26</f>
        <v>mW</v>
      </c>
      <c r="D74" s="17">
        <f t="shared" si="3"/>
        <v>1</v>
      </c>
      <c r="E74" s="17">
        <f t="shared" si="5"/>
        <v>1</v>
      </c>
      <c r="F74" s="17">
        <f t="shared" si="9"/>
        <v>1</v>
      </c>
      <c r="G74" s="17">
        <f t="shared" si="14"/>
        <v>1</v>
      </c>
      <c r="H74" s="17">
        <f t="shared" si="16"/>
        <v>1</v>
      </c>
      <c r="I74" s="17">
        <f t="shared" si="18"/>
        <v>1</v>
      </c>
      <c r="J74" s="17">
        <f t="shared" si="22"/>
        <v>1</v>
      </c>
      <c r="K74" s="17">
        <f t="shared" si="24"/>
        <v>1</v>
      </c>
      <c r="L74" s="17">
        <f t="shared" ref="L74:L76" si="28">$B74</f>
        <v>1</v>
      </c>
      <c r="M74" s="23">
        <f>$B74*0.9</f>
        <v>0.9</v>
      </c>
      <c r="N74" s="17">
        <f t="shared" ref="N74:O74" si="27">$B74</f>
        <v>1</v>
      </c>
      <c r="O74" s="17">
        <f t="shared" si="27"/>
        <v>1</v>
      </c>
      <c r="T74" s="32">
        <f>'System Parameters'!E26</f>
        <v>1</v>
      </c>
      <c r="U74" s="32">
        <f>'System Parameters'!F26</f>
        <v>0.9</v>
      </c>
      <c r="V74" s="32">
        <f>'System Parameters'!G26</f>
        <v>0.2</v>
      </c>
      <c r="W74" s="23" t="str">
        <f>'System Parameters'!H26</f>
        <v/>
      </c>
    </row>
    <row r="75">
      <c r="A75" s="23" t="str">
        <f>'System Parameters'!A27</f>
        <v>TX Power</v>
      </c>
      <c r="B75" s="17">
        <f>'System Parameters'!B27</f>
        <v>120</v>
      </c>
      <c r="C75" s="23" t="str">
        <f>'System Parameters'!C27</f>
        <v>mW</v>
      </c>
      <c r="D75" s="17">
        <f t="shared" si="3"/>
        <v>120</v>
      </c>
      <c r="E75" s="17">
        <f t="shared" si="5"/>
        <v>120</v>
      </c>
      <c r="F75" s="17">
        <f t="shared" si="9"/>
        <v>120</v>
      </c>
      <c r="G75" s="17">
        <f t="shared" si="14"/>
        <v>120</v>
      </c>
      <c r="H75" s="17">
        <f t="shared" si="16"/>
        <v>120</v>
      </c>
      <c r="I75" s="17">
        <f t="shared" si="18"/>
        <v>120</v>
      </c>
      <c r="J75" s="17">
        <f t="shared" si="22"/>
        <v>120</v>
      </c>
      <c r="K75" s="17">
        <f t="shared" si="24"/>
        <v>120</v>
      </c>
      <c r="L75" s="17">
        <f t="shared" si="28"/>
        <v>120</v>
      </c>
      <c r="M75" s="17">
        <f t="shared" ref="M75:M76" si="29">$B75</f>
        <v>120</v>
      </c>
      <c r="N75" s="23">
        <f>$B75*0.9</f>
        <v>108</v>
      </c>
      <c r="O75" s="17">
        <f>$B75</f>
        <v>120</v>
      </c>
      <c r="T75" s="32">
        <f>'System Parameters'!E27</f>
        <v>0</v>
      </c>
      <c r="U75" s="32">
        <f>'System Parameters'!F27</f>
        <v>0.05</v>
      </c>
      <c r="V75" s="32">
        <f>'System Parameters'!G27</f>
        <v>0.6</v>
      </c>
      <c r="W75" s="23" t="str">
        <f>'System Parameters'!H27</f>
        <v/>
      </c>
    </row>
    <row r="76">
      <c r="A76" s="23" t="str">
        <f>'System Parameters'!A28</f>
        <v>RX Power</v>
      </c>
      <c r="B76" s="17">
        <f>'System Parameters'!B28</f>
        <v>60</v>
      </c>
      <c r="C76" s="23" t="str">
        <f>'System Parameters'!C28</f>
        <v>mW</v>
      </c>
      <c r="D76" s="17">
        <f t="shared" si="3"/>
        <v>60</v>
      </c>
      <c r="E76" s="17">
        <f t="shared" si="5"/>
        <v>60</v>
      </c>
      <c r="F76" s="17">
        <f t="shared" si="9"/>
        <v>60</v>
      </c>
      <c r="G76" s="17">
        <f t="shared" si="14"/>
        <v>60</v>
      </c>
      <c r="H76" s="17">
        <f t="shared" si="16"/>
        <v>60</v>
      </c>
      <c r="I76" s="17">
        <f t="shared" si="18"/>
        <v>60</v>
      </c>
      <c r="J76" s="17">
        <f t="shared" si="22"/>
        <v>60</v>
      </c>
      <c r="K76" s="17">
        <f t="shared" si="24"/>
        <v>60</v>
      </c>
      <c r="L76" s="17">
        <f t="shared" si="28"/>
        <v>60</v>
      </c>
      <c r="M76" s="17">
        <f t="shared" si="29"/>
        <v>60</v>
      </c>
      <c r="N76" s="17">
        <f>$B76</f>
        <v>60</v>
      </c>
      <c r="O76" s="23">
        <f>$B76*0.9</f>
        <v>54</v>
      </c>
      <c r="T76" s="32">
        <f>'System Parameters'!E28</f>
        <v>0</v>
      </c>
      <c r="U76" s="32">
        <f>'System Parameters'!F28</f>
        <v>0.05</v>
      </c>
      <c r="V76" s="32">
        <f>'System Parameters'!G28</f>
        <v>0.2</v>
      </c>
      <c r="W76" s="23" t="str">
        <f>'System Parameters'!H28</f>
        <v/>
      </c>
    </row>
    <row r="77">
      <c r="A77" s="23" t="str">
        <f>'System Parameters'!A29</f>
        <v/>
      </c>
      <c r="B77" s="23" t="str">
        <f>'System Parameters'!B29</f>
        <v/>
      </c>
      <c r="C77" s="23" t="str">
        <f>'System Parameters'!C29</f>
        <v/>
      </c>
      <c r="D77" s="23" t="str">
        <f>'System Parameters'!D29</f>
        <v/>
      </c>
      <c r="T77" s="23" t="str">
        <f>'System Parameters'!E29</f>
        <v/>
      </c>
      <c r="U77" s="23" t="str">
        <f>'System Parameters'!F29</f>
        <v/>
      </c>
      <c r="V77" s="23" t="str">
        <f>'System Parameters'!G29</f>
        <v/>
      </c>
      <c r="W77" s="23" t="str">
        <f>'System Parameters'!H29</f>
        <v/>
      </c>
    </row>
    <row r="78">
      <c r="A78" s="23" t="str">
        <f>'System Parameters'!A30</f>
        <v/>
      </c>
      <c r="B78" s="23" t="str">
        <f>'System Parameters'!B30</f>
        <v/>
      </c>
      <c r="C78" s="23" t="str">
        <f>'System Parameters'!C30</f>
        <v/>
      </c>
      <c r="D78" s="23" t="str">
        <f>'System Parameters'!D30</f>
        <v/>
      </c>
      <c r="T78" s="23">
        <f>'System Parameters'!E30</f>
        <v>22.9</v>
      </c>
      <c r="U78" s="23">
        <f>'System Parameters'!F30</f>
        <v>1</v>
      </c>
      <c r="V78" s="23">
        <f>'System Parameters'!G30</f>
        <v>0.1</v>
      </c>
      <c r="W78" s="23" t="str">
        <f>'System Parameters'!H30</f>
        <v>hours/day typical usage</v>
      </c>
    </row>
    <row r="79">
      <c r="A79" s="31" t="str">
        <f>'System Parameters'!A31</f>
        <v>Battery</v>
      </c>
      <c r="B79" s="23" t="str">
        <f>'System Parameters'!B31</f>
        <v/>
      </c>
      <c r="C79" s="23" t="str">
        <f>'System Parameters'!C31</f>
        <v/>
      </c>
      <c r="D79" s="23" t="str">
        <f>'System Parameters'!D31</f>
        <v/>
      </c>
      <c r="T79" s="23" t="str">
        <f>'System Parameters'!E31</f>
        <v/>
      </c>
      <c r="U79" s="23" t="str">
        <f>'System Parameters'!F31</f>
        <v/>
      </c>
      <c r="V79" s="23" t="str">
        <f>'System Parameters'!G31</f>
        <v/>
      </c>
      <c r="W79" s="23" t="str">
        <f>'System Parameters'!H31</f>
        <v/>
      </c>
    </row>
    <row r="80">
      <c r="A80" s="23" t="str">
        <f>'System Parameters'!A32</f>
        <v>Capacity</v>
      </c>
      <c r="B80" s="17">
        <f>'System Parameters'!B32</f>
        <v>1100</v>
      </c>
      <c r="C80" s="23" t="str">
        <f>'System Parameters'!C32</f>
        <v>mAh</v>
      </c>
      <c r="D80" s="23" t="str">
        <f>'System Parameters'!D32</f>
        <v/>
      </c>
      <c r="T80" s="23" t="str">
        <f>'System Parameters'!E32</f>
        <v/>
      </c>
      <c r="U80" s="23" t="str">
        <f>'System Parameters'!F32</f>
        <v/>
      </c>
      <c r="V80" s="23" t="str">
        <f>'System Parameters'!G32</f>
        <v/>
      </c>
      <c r="W80" s="23" t="str">
        <f>'System Parameters'!H32</f>
        <v/>
      </c>
    </row>
    <row r="81">
      <c r="A81" s="23" t="str">
        <f>'System Parameters'!A33</f>
        <v>Nominal Voltage</v>
      </c>
      <c r="B81" s="35">
        <f>'System Parameters'!B33</f>
        <v>3.7</v>
      </c>
      <c r="C81" s="23" t="str">
        <f>'System Parameters'!C33</f>
        <v>V</v>
      </c>
      <c r="D81" s="23" t="str">
        <f>'System Parameters'!D33</f>
        <v/>
      </c>
      <c r="T81" s="23" t="str">
        <f>'System Parameters'!E33</f>
        <v/>
      </c>
      <c r="U81" s="23" t="str">
        <f>'System Parameters'!F33</f>
        <v/>
      </c>
      <c r="V81" s="23" t="str">
        <f>'System Parameters'!G33</f>
        <v/>
      </c>
      <c r="W81" s="23" t="str">
        <f>'System Parameters'!H33</f>
        <v/>
      </c>
    </row>
    <row r="82">
      <c r="A82" s="23" t="str">
        <f>'System Parameters'!A34</f>
        <v>Regulator Efficiency</v>
      </c>
      <c r="B82" s="32">
        <f>'System Parameters'!B34</f>
        <v>0.95</v>
      </c>
      <c r="C82" s="23" t="str">
        <f>'System Parameters'!C34</f>
        <v/>
      </c>
      <c r="D82" s="23" t="str">
        <f>'System Parameters'!D34</f>
        <v/>
      </c>
      <c r="T82" s="23" t="str">
        <f>'System Parameters'!E34</f>
        <v/>
      </c>
      <c r="U82" s="23" t="str">
        <f>'System Parameters'!F34</f>
        <v/>
      </c>
      <c r="V82" s="23" t="str">
        <f>'System Parameters'!G34</f>
        <v/>
      </c>
      <c r="W82" s="23" t="str">
        <f>'System Parameters'!H34</f>
        <v/>
      </c>
    </row>
    <row r="83">
      <c r="A83" s="23" t="str">
        <f>'System Parameters'!A35</f>
        <v/>
      </c>
      <c r="B83" s="23" t="str">
        <f>'System Parameters'!B35</f>
        <v/>
      </c>
      <c r="C83" s="23" t="str">
        <f>'System Parameters'!C35</f>
        <v/>
      </c>
      <c r="D83" s="23" t="str">
        <f>'System Parameters'!D35</f>
        <v/>
      </c>
      <c r="O83" s="23" t="str">
        <f>'System Parameters'!E35</f>
        <v/>
      </c>
      <c r="P83" s="23" t="str">
        <f>'System Parameters'!F35</f>
        <v/>
      </c>
      <c r="Q83" s="23" t="str">
        <f>'System Parameters'!G35</f>
        <v/>
      </c>
      <c r="R83" s="23" t="str">
        <f>'System Parameters'!H35</f>
        <v/>
      </c>
      <c r="S83" s="23" t="str">
        <f>'System Parameters'!I35</f>
        <v/>
      </c>
      <c r="T83" s="23" t="str">
        <f>'System Parameters'!J35</f>
        <v/>
      </c>
      <c r="U83" s="23" t="str">
        <f t="shared" ref="U83:V83" si="30">#REF!</f>
        <v>#REF!</v>
      </c>
      <c r="V83" s="23" t="str">
        <f t="shared" si="30"/>
        <v>#REF!</v>
      </c>
    </row>
    <row r="84">
      <c r="A84" s="23" t="str">
        <f>'System Parameters'!A36</f>
        <v/>
      </c>
      <c r="B84" s="23" t="str">
        <f>'System Parameters'!B36</f>
        <v/>
      </c>
      <c r="C84" s="23" t="str">
        <f>'System Parameters'!C36</f>
        <v/>
      </c>
      <c r="D84" s="23" t="str">
        <f>'System Parameters'!D36</f>
        <v/>
      </c>
      <c r="O84" s="23" t="str">
        <f>'System Parameters'!E36</f>
        <v/>
      </c>
      <c r="P84" s="23" t="str">
        <f>'System Parameters'!F36</f>
        <v/>
      </c>
      <c r="Q84" s="23" t="str">
        <f>'System Parameters'!G36</f>
        <v/>
      </c>
      <c r="R84" s="23" t="str">
        <f>'System Parameters'!H36</f>
        <v/>
      </c>
      <c r="S84" s="23" t="str">
        <f>'System Parameters'!I36</f>
        <v/>
      </c>
      <c r="T84" s="23" t="str">
        <f>'System Parameters'!J36</f>
        <v/>
      </c>
      <c r="U84" s="23" t="str">
        <f t="shared" ref="U84:V84" si="31">#REF!</f>
        <v>#REF!</v>
      </c>
      <c r="V84" s="23" t="str">
        <f t="shared" si="31"/>
        <v>#REF!</v>
      </c>
    </row>
    <row r="85">
      <c r="A85" s="23" t="str">
        <f>'System Parameters'!A37</f>
        <v/>
      </c>
      <c r="B85" s="23" t="str">
        <f>'System Parameters'!K24</f>
        <v/>
      </c>
      <c r="C85" s="23" t="str">
        <f>'System Parameters'!L24</f>
        <v/>
      </c>
      <c r="D85" s="23" t="str">
        <f>'System Parameters'!M24</f>
        <v/>
      </c>
      <c r="O85" s="23" t="str">
        <f>'System Parameters'!N24</f>
        <v/>
      </c>
      <c r="P85" s="23" t="str">
        <f>'System Parameters'!O24</f>
        <v/>
      </c>
      <c r="Q85" s="23" t="str">
        <f>'System Parameters'!P24</f>
        <v/>
      </c>
      <c r="R85" s="23" t="str">
        <f>'System Parameters'!Q24</f>
        <v/>
      </c>
      <c r="S85" s="23" t="str">
        <f>'System Parameters'!I37</f>
        <v/>
      </c>
      <c r="T85" s="23" t="str">
        <f>'System Parameters'!J37</f>
        <v/>
      </c>
      <c r="U85" s="23" t="str">
        <f t="shared" ref="U85:V85" si="32">#REF!</f>
        <v>#REF!</v>
      </c>
      <c r="V85" s="23" t="str">
        <f t="shared" si="32"/>
        <v>#REF!</v>
      </c>
    </row>
    <row r="86">
      <c r="A86" s="23" t="str">
        <f>'System Parameters'!A38</f>
        <v>REFLECTIONS : WHAT DID YOU LEARN FROM ANALYZING YOUR POWER.  TALK ABOUT SOME POTENTIAL TRADEOFFS. </v>
      </c>
      <c r="B86" s="23" t="str">
        <f>'System Parameters'!K25</f>
        <v/>
      </c>
      <c r="C86" s="23" t="str">
        <f t="shared" ref="C86:D86" si="33">#REF!</f>
        <v>#REF!</v>
      </c>
      <c r="D86" s="23" t="str">
        <f t="shared" si="33"/>
        <v>#REF!</v>
      </c>
      <c r="O86" s="23" t="str">
        <f t="shared" ref="O86:Q86" si="34">#REF!</f>
        <v>#REF!</v>
      </c>
      <c r="P86" s="23" t="str">
        <f t="shared" si="34"/>
        <v>#REF!</v>
      </c>
      <c r="Q86" s="23" t="str">
        <f t="shared" si="34"/>
        <v>#REF!</v>
      </c>
      <c r="R86" s="23" t="str">
        <f>'System Parameters'!Q25</f>
        <v/>
      </c>
      <c r="S86" s="23" t="str">
        <f>'System Parameters'!I38</f>
        <v/>
      </c>
      <c r="T86" s="23" t="str">
        <f>'System Parameters'!J38</f>
        <v/>
      </c>
      <c r="U86" s="23" t="str">
        <f t="shared" ref="U86:V86" si="35">#REF!</f>
        <v>#REF!</v>
      </c>
      <c r="V86" s="23" t="str">
        <f t="shared" si="35"/>
        <v>#REF!</v>
      </c>
    </row>
    <row r="87">
      <c r="A87" s="23" t="str">
        <f>'System Parameters'!L25</f>
        <v>Total power in profile (mw)</v>
      </c>
      <c r="B87" s="23" t="str">
        <f>'System Parameters'!M25</f>
        <v/>
      </c>
      <c r="C87" s="23" t="str">
        <f>'System Parameters'!N25</f>
        <v/>
      </c>
      <c r="R87" s="23" t="str">
        <f>'System Parameters'!Q26</f>
        <v/>
      </c>
      <c r="S87" s="23" t="str">
        <f>'System Parameters'!I39</f>
        <v/>
      </c>
      <c r="T87" s="23" t="str">
        <f>'System Parameters'!J39</f>
        <v/>
      </c>
      <c r="U87" s="23" t="str">
        <f>'System Parameters'!K39</f>
        <v/>
      </c>
      <c r="V87" s="23" t="str">
        <f>'System Parameters'!L39</f>
        <v/>
      </c>
    </row>
    <row r="88">
      <c r="A88" s="23" t="str">
        <f>'System Parameters'!L26</f>
        <v>"off"</v>
      </c>
      <c r="B88" s="23">
        <f>sumproduct(B56:B76, $T56:$T76)</f>
        <v>1.023</v>
      </c>
      <c r="C88" s="23" t="str">
        <f>'System Parameters'!N26</f>
        <v>mW</v>
      </c>
      <c r="D88" s="23">
        <f t="shared" ref="D88:O88" si="36">sumproduct(D56:D76, $T56:$T76)</f>
        <v>1.023</v>
      </c>
      <c r="E88" s="23">
        <f t="shared" si="36"/>
        <v>1.023</v>
      </c>
      <c r="F88" s="23">
        <f t="shared" si="36"/>
        <v>1.021</v>
      </c>
      <c r="G88" s="23">
        <f t="shared" si="36"/>
        <v>1.023</v>
      </c>
      <c r="H88" s="23">
        <f t="shared" si="36"/>
        <v>1.023</v>
      </c>
      <c r="I88" s="23">
        <f t="shared" si="36"/>
        <v>1.023</v>
      </c>
      <c r="J88" s="23">
        <f t="shared" si="36"/>
        <v>1.0227</v>
      </c>
      <c r="K88" s="23">
        <f t="shared" si="36"/>
        <v>1.023</v>
      </c>
      <c r="L88" s="23">
        <f t="shared" si="36"/>
        <v>1.023</v>
      </c>
      <c r="M88" s="23">
        <f t="shared" si="36"/>
        <v>0.923</v>
      </c>
      <c r="N88" s="23">
        <f t="shared" si="36"/>
        <v>1.023</v>
      </c>
      <c r="O88" s="23">
        <f t="shared" si="36"/>
        <v>1.023</v>
      </c>
      <c r="R88" s="23" t="str">
        <f>'System Parameters'!Q27</f>
        <v/>
      </c>
      <c r="S88" s="23" t="str">
        <f>'System Parameters'!I40</f>
        <v/>
      </c>
      <c r="T88" s="23" t="str">
        <f>'System Parameters'!J40</f>
        <v/>
      </c>
      <c r="U88" s="23" t="str">
        <f>'System Parameters'!K40</f>
        <v/>
      </c>
      <c r="V88" s="23" t="str">
        <f>'System Parameters'!L40</f>
        <v/>
      </c>
    </row>
    <row r="89">
      <c r="A89" s="23" t="str">
        <f>'System Parameters'!L27</f>
        <v>"sensing"</v>
      </c>
      <c r="B89" s="23">
        <f>sumproduct(B56:B76,$U56:$U76)</f>
        <v>105.91024</v>
      </c>
      <c r="C89" s="23" t="str">
        <f>'System Parameters'!N27</f>
        <v>mW</v>
      </c>
      <c r="D89" s="23">
        <f t="shared" ref="D89:O89" si="37">sumproduct(D56:D76,$U56:$U76)</f>
        <v>98.11024</v>
      </c>
      <c r="E89" s="23">
        <f t="shared" si="37"/>
        <v>104.61024</v>
      </c>
      <c r="F89" s="23">
        <f t="shared" si="37"/>
        <v>105.90924</v>
      </c>
      <c r="G89" s="23">
        <f t="shared" si="37"/>
        <v>105.91024</v>
      </c>
      <c r="H89" s="23">
        <f t="shared" si="37"/>
        <v>105.410216</v>
      </c>
      <c r="I89" s="23">
        <f t="shared" si="37"/>
        <v>105.91024</v>
      </c>
      <c r="J89" s="23">
        <f t="shared" si="37"/>
        <v>105.91024</v>
      </c>
      <c r="K89" s="23">
        <f t="shared" si="37"/>
        <v>105.91024</v>
      </c>
      <c r="L89" s="23">
        <f t="shared" si="37"/>
        <v>105.91024</v>
      </c>
      <c r="M89" s="23">
        <f t="shared" si="37"/>
        <v>105.82024</v>
      </c>
      <c r="N89" s="23">
        <f t="shared" si="37"/>
        <v>105.31024</v>
      </c>
      <c r="O89" s="23">
        <f t="shared" si="37"/>
        <v>105.61024</v>
      </c>
      <c r="R89" s="23" t="str">
        <f>'System Parameters'!Q28</f>
        <v/>
      </c>
      <c r="S89" s="23" t="str">
        <f>'System Parameters'!I41</f>
        <v/>
      </c>
      <c r="T89" s="23" t="str">
        <f>'System Parameters'!J41</f>
        <v/>
      </c>
      <c r="U89" s="23" t="str">
        <f>'System Parameters'!K41</f>
        <v/>
      </c>
      <c r="V89" s="23" t="str">
        <f>'System Parameters'!L41</f>
        <v/>
      </c>
    </row>
    <row r="90">
      <c r="A90" s="23" t="str">
        <f>'System Parameters'!L28</f>
        <v>"interactive"</v>
      </c>
      <c r="B90" s="23">
        <f>sumproduct(B56:B76, $V56:$V76)</f>
        <v>303.70224</v>
      </c>
      <c r="C90" s="23" t="str">
        <f>'System Parameters'!N28</f>
        <v>mW</v>
      </c>
      <c r="D90" s="23">
        <f t="shared" ref="D90:O90" si="38">sumproduct(D56:D76, $V56:$V76)</f>
        <v>282.90224</v>
      </c>
      <c r="E90" s="23">
        <f t="shared" si="38"/>
        <v>303.05224</v>
      </c>
      <c r="F90" s="23">
        <f t="shared" si="38"/>
        <v>303.70204</v>
      </c>
      <c r="G90" s="23">
        <f t="shared" si="38"/>
        <v>303.70224</v>
      </c>
      <c r="H90" s="23">
        <f t="shared" si="38"/>
        <v>303.202216</v>
      </c>
      <c r="I90" s="23">
        <f t="shared" si="38"/>
        <v>303.70224</v>
      </c>
      <c r="J90" s="23">
        <f t="shared" si="38"/>
        <v>303.70224</v>
      </c>
      <c r="K90" s="23">
        <f t="shared" si="38"/>
        <v>303.70224</v>
      </c>
      <c r="L90" s="23">
        <f t="shared" si="38"/>
        <v>303.70224</v>
      </c>
      <c r="M90" s="23">
        <f t="shared" si="38"/>
        <v>303.68224</v>
      </c>
      <c r="N90" s="23">
        <f t="shared" si="38"/>
        <v>296.50224</v>
      </c>
      <c r="O90" s="23">
        <f t="shared" si="38"/>
        <v>302.50224</v>
      </c>
      <c r="R90" s="23" t="str">
        <f>'System Parameters'!Q29</f>
        <v/>
      </c>
      <c r="S90" s="23" t="str">
        <f>'System Parameters'!I42</f>
        <v/>
      </c>
      <c r="T90" s="23" t="str">
        <f>'System Parameters'!J42</f>
        <v/>
      </c>
      <c r="U90" s="23" t="str">
        <f>'System Parameters'!K42</f>
        <v/>
      </c>
      <c r="V90" s="23" t="str">
        <f>'System Parameters'!L42</f>
        <v/>
      </c>
    </row>
    <row r="91">
      <c r="A91" s="23" t="str">
        <f>'System Parameters'!L29</f>
        <v/>
      </c>
      <c r="B91" s="23" t="str">
        <f>'System Parameters'!M29</f>
        <v/>
      </c>
      <c r="C91" s="23" t="str">
        <f>'System Parameters'!N29</f>
        <v/>
      </c>
      <c r="D91" s="23" t="str">
        <f>'System Parameters'!O29</f>
        <v/>
      </c>
      <c r="E91" s="23" t="str">
        <f>'System Parameters'!P29</f>
        <v/>
      </c>
      <c r="F91" s="23" t="str">
        <f>'System Parameters'!Q30</f>
        <v/>
      </c>
      <c r="G91" s="23" t="str">
        <f>'System Parameters'!I43</f>
        <v/>
      </c>
      <c r="H91" s="23" t="str">
        <f>'System Parameters'!J43</f>
        <v/>
      </c>
      <c r="I91" s="23" t="str">
        <f>'System Parameters'!K43</f>
        <v/>
      </c>
      <c r="J91" s="23" t="str">
        <f>'System Parameters'!L43</f>
        <v/>
      </c>
      <c r="K91" s="23" t="str">
        <f>'System Parameters'!M43</f>
        <v/>
      </c>
      <c r="L91" s="23" t="str">
        <f>'System Parameters'!N43</f>
        <v/>
      </c>
      <c r="M91" s="23" t="str">
        <f>'System Parameters'!O43</f>
        <v/>
      </c>
      <c r="N91" s="23" t="str">
        <f>'System Parameters'!P43</f>
        <v/>
      </c>
      <c r="O91" s="23" t="str">
        <f>'System Parameters'!Q43</f>
        <v/>
      </c>
      <c r="R91" s="23" t="str">
        <f>'System Parameters'!Q30</f>
        <v/>
      </c>
      <c r="S91" s="23" t="str">
        <f>'System Parameters'!I43</f>
        <v/>
      </c>
      <c r="T91" s="23" t="str">
        <f>'System Parameters'!J43</f>
        <v/>
      </c>
      <c r="U91" s="23" t="str">
        <f>'System Parameters'!K43</f>
        <v/>
      </c>
      <c r="V91" s="23" t="str">
        <f>'System Parameters'!L43</f>
        <v/>
      </c>
    </row>
    <row r="92">
      <c r="A92" s="23" t="str">
        <f>'System Parameters'!L30</f>
        <v>Effective Battery Capacity</v>
      </c>
      <c r="B92" s="23" t="str">
        <f>'System Parameters'!M30</f>
        <v/>
      </c>
      <c r="C92" s="23" t="str">
        <f>'System Parameters'!N30</f>
        <v/>
      </c>
      <c r="D92" s="23" t="str">
        <f>'System Parameters'!O30</f>
        <v/>
      </c>
      <c r="E92" s="23" t="str">
        <f>'System Parameters'!P30</f>
        <v/>
      </c>
      <c r="F92" s="23" t="str">
        <f>'System Parameters'!Q31</f>
        <v/>
      </c>
      <c r="G92" s="23" t="str">
        <f>'System Parameters'!I44</f>
        <v/>
      </c>
      <c r="H92" s="23" t="str">
        <f>'System Parameters'!J44</f>
        <v/>
      </c>
      <c r="I92" s="23" t="str">
        <f>'System Parameters'!K44</f>
        <v/>
      </c>
      <c r="J92" s="23" t="str">
        <f>'System Parameters'!L44</f>
        <v/>
      </c>
      <c r="K92" s="23" t="str">
        <f>'System Parameters'!M44</f>
        <v/>
      </c>
      <c r="L92" s="23" t="str">
        <f>'System Parameters'!N44</f>
        <v/>
      </c>
      <c r="M92" s="23" t="str">
        <f>'System Parameters'!O44</f>
        <v/>
      </c>
      <c r="N92" s="23" t="str">
        <f>'System Parameters'!P44</f>
        <v/>
      </c>
      <c r="O92" s="23" t="str">
        <f>'System Parameters'!Q44</f>
        <v/>
      </c>
      <c r="P92" s="23" t="str">
        <f>'System Parameters'!O30</f>
        <v/>
      </c>
      <c r="Q92" s="23" t="str">
        <f>'System Parameters'!P30</f>
        <v/>
      </c>
      <c r="R92" s="23" t="str">
        <f>'System Parameters'!Q31</f>
        <v/>
      </c>
      <c r="S92" s="23" t="str">
        <f>'System Parameters'!I44</f>
        <v/>
      </c>
      <c r="T92" s="23" t="str">
        <f>'System Parameters'!J44</f>
        <v/>
      </c>
      <c r="U92" s="23" t="str">
        <f>'System Parameters'!K44</f>
        <v/>
      </c>
      <c r="V92" s="23" t="str">
        <f>'System Parameters'!L44</f>
        <v/>
      </c>
    </row>
    <row r="93">
      <c r="A93" s="23" t="str">
        <f>'System Parameters'!L31</f>
        <v/>
      </c>
      <c r="B93" s="23">
        <f>B80*B81*B82</f>
        <v>3866.5</v>
      </c>
      <c r="C93" s="23" t="str">
        <f>'System Parameters'!N31</f>
        <v>mW*h</v>
      </c>
      <c r="D93" s="23">
        <f t="shared" ref="D93:O93" si="39">$B93</f>
        <v>3866.5</v>
      </c>
      <c r="E93" s="23">
        <f t="shared" si="39"/>
        <v>3866.5</v>
      </c>
      <c r="F93" s="23">
        <f t="shared" si="39"/>
        <v>3866.5</v>
      </c>
      <c r="G93" s="23">
        <f t="shared" si="39"/>
        <v>3866.5</v>
      </c>
      <c r="H93" s="23">
        <f t="shared" si="39"/>
        <v>3866.5</v>
      </c>
      <c r="I93" s="23">
        <f t="shared" si="39"/>
        <v>3866.5</v>
      </c>
      <c r="J93" s="23">
        <f t="shared" si="39"/>
        <v>3866.5</v>
      </c>
      <c r="K93" s="23">
        <f t="shared" si="39"/>
        <v>3866.5</v>
      </c>
      <c r="L93" s="23">
        <f t="shared" si="39"/>
        <v>3866.5</v>
      </c>
      <c r="M93" s="23">
        <f t="shared" si="39"/>
        <v>3866.5</v>
      </c>
      <c r="N93" s="23">
        <f t="shared" si="39"/>
        <v>3866.5</v>
      </c>
      <c r="O93" s="23">
        <f t="shared" si="39"/>
        <v>3866.5</v>
      </c>
      <c r="P93" s="23" t="str">
        <f>'System Parameters'!O31</f>
        <v/>
      </c>
      <c r="Q93" s="23" t="str">
        <f>'System Parameters'!P31</f>
        <v/>
      </c>
      <c r="R93" s="23" t="str">
        <f>'System Parameters'!Q32</f>
        <v/>
      </c>
      <c r="S93" s="23" t="str">
        <f>'System Parameters'!I45</f>
        <v/>
      </c>
      <c r="T93" s="23" t="str">
        <f>'System Parameters'!J45</f>
        <v/>
      </c>
      <c r="U93" s="23" t="str">
        <f>'System Parameters'!K45</f>
        <v/>
      </c>
      <c r="V93" s="23" t="str">
        <f>'System Parameters'!L45</f>
        <v/>
      </c>
    </row>
    <row r="94">
      <c r="A94" s="23" t="str">
        <f>'System Parameters'!L32</f>
        <v/>
      </c>
      <c r="B94" s="23" t="str">
        <f>'System Parameters'!M32</f>
        <v/>
      </c>
      <c r="C94" s="23" t="str">
        <f>'System Parameters'!N32</f>
        <v/>
      </c>
      <c r="D94" s="23" t="str">
        <f>'System Parameters'!O32</f>
        <v/>
      </c>
      <c r="E94" s="23" t="str">
        <f>'System Parameters'!P32</f>
        <v/>
      </c>
      <c r="F94" s="23" t="str">
        <f>'System Parameters'!Q33</f>
        <v/>
      </c>
      <c r="G94" s="23" t="str">
        <f>'System Parameters'!I46</f>
        <v/>
      </c>
      <c r="H94" s="23" t="str">
        <f>'System Parameters'!J46</f>
        <v/>
      </c>
      <c r="I94" s="23" t="str">
        <f>'System Parameters'!K46</f>
        <v/>
      </c>
      <c r="J94" s="23" t="str">
        <f>'System Parameters'!L46</f>
        <v/>
      </c>
      <c r="K94" s="23" t="str">
        <f>'System Parameters'!M46</f>
        <v/>
      </c>
      <c r="L94" s="23" t="str">
        <f>'System Parameters'!N46</f>
        <v/>
      </c>
      <c r="M94" s="23" t="str">
        <f>'System Parameters'!O46</f>
        <v/>
      </c>
      <c r="N94" s="23" t="str">
        <f>'System Parameters'!P46</f>
        <v/>
      </c>
      <c r="O94" s="23" t="str">
        <f>'System Parameters'!Q46</f>
        <v/>
      </c>
      <c r="P94" s="23" t="str">
        <f>'System Parameters'!O32</f>
        <v/>
      </c>
      <c r="Q94" s="23" t="str">
        <f>'System Parameters'!P32</f>
        <v/>
      </c>
      <c r="R94" s="23" t="str">
        <f>'System Parameters'!Q33</f>
        <v/>
      </c>
      <c r="S94" s="23" t="str">
        <f>'System Parameters'!I46</f>
        <v/>
      </c>
      <c r="T94" s="23" t="str">
        <f>'System Parameters'!J46</f>
        <v/>
      </c>
      <c r="U94" s="23" t="str">
        <f>'System Parameters'!K46</f>
        <v/>
      </c>
      <c r="V94" s="23" t="str">
        <f>'System Parameters'!L46</f>
        <v/>
      </c>
    </row>
    <row r="95">
      <c r="A95" s="23" t="str">
        <f>'System Parameters'!L33</f>
        <v>Days of Use</v>
      </c>
      <c r="B95" s="23">
        <f>B93/($T78*B88+$U78*B89+$V78*B90)</f>
        <v>24.20993463</v>
      </c>
      <c r="C95" s="23" t="str">
        <f>'System Parameters'!N33</f>
        <v>days</v>
      </c>
      <c r="D95" s="23">
        <f t="shared" ref="D95:O95" si="40">D93/($T78*D88+$U78*D89+$V78*D90)</f>
        <v>25.80640184</v>
      </c>
      <c r="E95" s="23">
        <f t="shared" si="40"/>
        <v>24.41863811</v>
      </c>
      <c r="F95" s="23">
        <f t="shared" si="40"/>
        <v>24.21703413</v>
      </c>
      <c r="G95" s="23">
        <f t="shared" si="40"/>
        <v>24.20993463</v>
      </c>
      <c r="H95" s="23">
        <f t="shared" si="40"/>
        <v>24.29360102</v>
      </c>
      <c r="I95" s="23">
        <f t="shared" si="40"/>
        <v>24.20993463</v>
      </c>
      <c r="J95" s="23">
        <f t="shared" si="40"/>
        <v>24.21097609</v>
      </c>
      <c r="K95" s="23">
        <f t="shared" si="40"/>
        <v>24.20993463</v>
      </c>
      <c r="L95" s="23">
        <f t="shared" si="40"/>
        <v>24.20993463</v>
      </c>
      <c r="M95" s="23">
        <f t="shared" si="40"/>
        <v>24.57648797</v>
      </c>
      <c r="N95" s="23">
        <f t="shared" si="40"/>
        <v>24.41170043</v>
      </c>
      <c r="O95" s="23">
        <f t="shared" si="40"/>
        <v>24.27377011</v>
      </c>
      <c r="P95" s="23" t="str">
        <f>'System Parameters'!O33</f>
        <v/>
      </c>
      <c r="Q95" s="23" t="str">
        <f>'System Parameters'!P33</f>
        <v/>
      </c>
      <c r="R95" s="23" t="str">
        <f>'System Parameters'!Q34</f>
        <v/>
      </c>
      <c r="S95" s="23" t="str">
        <f>'System Parameters'!I47</f>
        <v/>
      </c>
      <c r="T95" s="23" t="str">
        <f>'System Parameters'!J47</f>
        <v/>
      </c>
      <c r="U95" s="23" t="str">
        <f>'System Parameters'!K47</f>
        <v/>
      </c>
      <c r="V95" s="23" t="str">
        <f>'System Parameters'!L47</f>
        <v/>
      </c>
    </row>
    <row r="96">
      <c r="A96" s="23" t="str">
        <f>'System Parameters'!L34</f>
        <v>Hours of Use</v>
      </c>
      <c r="B96" s="23">
        <f>B95*24</f>
        <v>581.0384311</v>
      </c>
      <c r="C96" s="23" t="str">
        <f>'System Parameters'!N34</f>
        <v>hours</v>
      </c>
      <c r="D96" s="23">
        <f t="shared" ref="D96:O96" si="41">D95*24</f>
        <v>619.353644</v>
      </c>
      <c r="E96" s="23">
        <f t="shared" si="41"/>
        <v>586.0473146</v>
      </c>
      <c r="F96" s="23">
        <f t="shared" si="41"/>
        <v>581.2088191</v>
      </c>
      <c r="G96" s="23">
        <f t="shared" si="41"/>
        <v>581.0384311</v>
      </c>
      <c r="H96" s="23">
        <f t="shared" si="41"/>
        <v>583.0464244</v>
      </c>
      <c r="I96" s="23">
        <f t="shared" si="41"/>
        <v>581.0384311</v>
      </c>
      <c r="J96" s="23">
        <f t="shared" si="41"/>
        <v>581.0634262</v>
      </c>
      <c r="K96" s="23">
        <f t="shared" si="41"/>
        <v>581.0384311</v>
      </c>
      <c r="L96" s="23">
        <f t="shared" si="41"/>
        <v>581.0384311</v>
      </c>
      <c r="M96" s="23">
        <f t="shared" si="41"/>
        <v>589.8357112</v>
      </c>
      <c r="N96" s="23">
        <f t="shared" si="41"/>
        <v>585.8808104</v>
      </c>
      <c r="O96" s="23">
        <f t="shared" si="41"/>
        <v>582.5704826</v>
      </c>
      <c r="P96" s="23" t="str">
        <f>'System Parameters'!O34</f>
        <v/>
      </c>
      <c r="Q96" s="23" t="str">
        <f>'System Parameters'!P34</f>
        <v/>
      </c>
      <c r="R96" s="23" t="str">
        <f>'System Parameters'!Q35</f>
        <v/>
      </c>
      <c r="S96" s="23" t="str">
        <f>'System Parameters'!I48</f>
        <v/>
      </c>
      <c r="T96" s="23" t="str">
        <f>'System Parameters'!J48</f>
        <v/>
      </c>
      <c r="U96" s="23" t="str">
        <f>'System Parameters'!K48</f>
        <v/>
      </c>
      <c r="V96" s="23" t="str">
        <f>'System Parameters'!L48</f>
        <v/>
      </c>
    </row>
    <row r="97">
      <c r="A97" s="23" t="str">
        <f>'System Parameters'!A49</f>
        <v/>
      </c>
      <c r="B97" s="23" t="str">
        <f>'System Parameters'!K36</f>
        <v/>
      </c>
      <c r="C97" s="23" t="str">
        <f>'System Parameters'!L36</f>
        <v/>
      </c>
      <c r="D97" s="23" t="str">
        <f>'System Parameters'!M36</f>
        <v/>
      </c>
      <c r="O97" s="23" t="str">
        <f>'System Parameters'!N36</f>
        <v/>
      </c>
      <c r="P97" s="23" t="str">
        <f>'System Parameters'!O36</f>
        <v/>
      </c>
      <c r="Q97" s="23" t="str">
        <f>'System Parameters'!P36</f>
        <v/>
      </c>
      <c r="R97" s="23" t="str">
        <f>'System Parameters'!Q36</f>
        <v/>
      </c>
      <c r="S97" s="23" t="str">
        <f>'System Parameters'!I49</f>
        <v/>
      </c>
      <c r="T97" s="23" t="str">
        <f>'System Parameters'!J49</f>
        <v/>
      </c>
      <c r="U97" s="23" t="str">
        <f>'System Parameters'!K49</f>
        <v/>
      </c>
      <c r="V97" s="23" t="str">
        <f>'System Parameters'!L49</f>
        <v/>
      </c>
    </row>
    <row r="98">
      <c r="A98" s="9" t="s">
        <v>41</v>
      </c>
      <c r="B98" s="23" t="str">
        <f>'System Parameters'!K37</f>
        <v/>
      </c>
      <c r="C98" s="23" t="str">
        <f>'System Parameters'!L37</f>
        <v/>
      </c>
      <c r="D98" s="36">
        <f t="shared" ref="D98:O98" si="42">D96/$B96-1</f>
        <v>0.06594264842</v>
      </c>
      <c r="E98" s="36">
        <f t="shared" si="42"/>
        <v>0.00862057184</v>
      </c>
      <c r="F98" s="36">
        <f t="shared" si="42"/>
        <v>0.0002932475205</v>
      </c>
      <c r="G98" s="36">
        <f t="shared" si="42"/>
        <v>0</v>
      </c>
      <c r="H98" s="36">
        <f t="shared" si="42"/>
        <v>0.003455870144</v>
      </c>
      <c r="I98" s="36">
        <f t="shared" si="42"/>
        <v>0</v>
      </c>
      <c r="J98" s="36">
        <f t="shared" si="42"/>
        <v>0.00004301807985</v>
      </c>
      <c r="K98" s="36">
        <f t="shared" si="42"/>
        <v>0</v>
      </c>
      <c r="L98" s="36">
        <f t="shared" si="42"/>
        <v>0</v>
      </c>
      <c r="M98" s="36">
        <f t="shared" si="42"/>
        <v>0.01514061667</v>
      </c>
      <c r="N98" s="36">
        <f t="shared" si="42"/>
        <v>0.008334008683</v>
      </c>
      <c r="O98" s="36">
        <f t="shared" si="42"/>
        <v>0.002636747303</v>
      </c>
      <c r="P98" s="23" t="str">
        <f>'System Parameters'!O37</f>
        <v/>
      </c>
      <c r="Q98" s="23" t="str">
        <f>'System Parameters'!P37</f>
        <v/>
      </c>
      <c r="R98" s="23" t="str">
        <f>'System Parameters'!Q37</f>
        <v/>
      </c>
      <c r="S98" s="23" t="str">
        <f>'System Parameters'!I50</f>
        <v/>
      </c>
      <c r="T98" s="23" t="str">
        <f>'System Parameters'!J50</f>
        <v/>
      </c>
      <c r="U98" s="23" t="str">
        <f>'System Parameters'!K50</f>
        <v/>
      </c>
      <c r="V98" s="23" t="str">
        <f>'System Parameters'!L50</f>
        <v/>
      </c>
    </row>
    <row r="99">
      <c r="A99" s="9" t="s">
        <v>42</v>
      </c>
      <c r="B99" s="23" t="str">
        <f>'System Parameters'!K38</f>
        <v/>
      </c>
      <c r="C99" s="23" t="str">
        <f>'System Parameters'!L38</f>
        <v/>
      </c>
      <c r="D99" s="9" t="s">
        <v>43</v>
      </c>
      <c r="E99" s="9" t="s">
        <v>44</v>
      </c>
      <c r="F99" s="9" t="s">
        <v>45</v>
      </c>
      <c r="G99" s="9" t="s">
        <v>46</v>
      </c>
      <c r="H99" s="9" t="s">
        <v>47</v>
      </c>
      <c r="I99" s="9" t="s">
        <v>48</v>
      </c>
      <c r="J99" s="9" t="s">
        <v>49</v>
      </c>
      <c r="K99" s="9" t="s">
        <v>50</v>
      </c>
      <c r="L99" s="9" t="s">
        <v>51</v>
      </c>
      <c r="M99" s="9" t="s">
        <v>52</v>
      </c>
      <c r="N99" s="9" t="s">
        <v>53</v>
      </c>
      <c r="O99" s="9" t="s">
        <v>54</v>
      </c>
      <c r="P99" s="23" t="str">
        <f>'System Parameters'!O38</f>
        <v/>
      </c>
      <c r="Q99" s="23" t="str">
        <f>'System Parameters'!P38</f>
        <v/>
      </c>
      <c r="R99" s="23" t="str">
        <f>'System Parameters'!Q38</f>
        <v/>
      </c>
      <c r="S99" s="23" t="str">
        <f>'System Parameters'!I51</f>
        <v/>
      </c>
      <c r="T99" s="23" t="str">
        <f>'System Parameters'!J51</f>
        <v/>
      </c>
      <c r="U99" s="23" t="str">
        <f>'System Parameters'!K51</f>
        <v/>
      </c>
      <c r="V99" s="23" t="str">
        <f>'System Parameters'!L51</f>
        <v/>
      </c>
    </row>
    <row r="100">
      <c r="A100" s="23" t="str">
        <f>'System Parameters'!A52</f>
        <v/>
      </c>
      <c r="B100" s="23" t="str">
        <f>'System Parameters'!B52</f>
        <v/>
      </c>
      <c r="C100" s="23" t="str">
        <f>'System Parameters'!C52</f>
        <v/>
      </c>
      <c r="D100" s="23" t="str">
        <f>'System Parameters'!D52</f>
        <v/>
      </c>
      <c r="O100" s="23" t="str">
        <f>'System Parameters'!E52</f>
        <v/>
      </c>
      <c r="P100" s="23" t="str">
        <f>'System Parameters'!F52</f>
        <v/>
      </c>
      <c r="Q100" s="23" t="str">
        <f>'System Parameters'!G52</f>
        <v/>
      </c>
      <c r="R100" s="23" t="str">
        <f>'System Parameters'!H52</f>
        <v/>
      </c>
      <c r="S100" s="23" t="str">
        <f>'System Parameters'!I52</f>
        <v/>
      </c>
      <c r="T100" s="23" t="str">
        <f>'System Parameters'!J52</f>
        <v/>
      </c>
      <c r="U100" s="23" t="str">
        <f>'System Parameters'!K52</f>
        <v/>
      </c>
      <c r="V100" s="23" t="str">
        <f>'System Parameters'!L52</f>
        <v/>
      </c>
    </row>
    <row r="101">
      <c r="A101" s="23" t="str">
        <f>'System Parameters'!A53</f>
        <v/>
      </c>
      <c r="B101" s="23" t="str">
        <f>'System Parameters'!B53</f>
        <v/>
      </c>
      <c r="C101" s="23" t="str">
        <f>'System Parameters'!C53</f>
        <v/>
      </c>
      <c r="D101" s="23" t="str">
        <f>'System Parameters'!D53</f>
        <v/>
      </c>
      <c r="O101" s="23" t="str">
        <f>'System Parameters'!E53</f>
        <v/>
      </c>
      <c r="P101" s="23" t="str">
        <f>'System Parameters'!F53</f>
        <v/>
      </c>
      <c r="Q101" s="23" t="str">
        <f>'System Parameters'!G53</f>
        <v/>
      </c>
      <c r="R101" s="23" t="str">
        <f>'System Parameters'!H53</f>
        <v/>
      </c>
      <c r="S101" s="23" t="str">
        <f>'System Parameters'!I53</f>
        <v/>
      </c>
      <c r="T101" s="23" t="str">
        <f>'System Parameters'!J53</f>
        <v/>
      </c>
      <c r="U101" s="23" t="str">
        <f>'System Parameters'!K53</f>
        <v/>
      </c>
      <c r="V101" s="23" t="str">
        <f>'System Parameters'!L53</f>
        <v/>
      </c>
    </row>
    <row r="102">
      <c r="A102" s="23" t="str">
        <f>'System Parameters'!A54</f>
        <v/>
      </c>
      <c r="B102" s="23" t="str">
        <f>'System Parameters'!B54</f>
        <v/>
      </c>
      <c r="C102" s="23" t="str">
        <f>'System Parameters'!C54</f>
        <v/>
      </c>
      <c r="D102" s="23" t="str">
        <f>'System Parameters'!D54</f>
        <v/>
      </c>
      <c r="O102" s="23" t="str">
        <f>'System Parameters'!E54</f>
        <v/>
      </c>
      <c r="P102" s="23" t="str">
        <f>'System Parameters'!F54</f>
        <v/>
      </c>
      <c r="Q102" s="23" t="str">
        <f>'System Parameters'!G54</f>
        <v/>
      </c>
      <c r="R102" s="23" t="str">
        <f>'System Parameters'!H54</f>
        <v/>
      </c>
      <c r="S102" s="23" t="str">
        <f>'System Parameters'!I54</f>
        <v/>
      </c>
      <c r="T102" s="23" t="str">
        <f>'System Parameters'!J54</f>
        <v/>
      </c>
      <c r="U102" s="23" t="str">
        <f>'System Parameters'!K54</f>
        <v/>
      </c>
      <c r="V102" s="23" t="str">
        <f>'System Parameters'!L54</f>
        <v/>
      </c>
    </row>
    <row r="103">
      <c r="A103" s="23" t="str">
        <f>'System Parameters'!A55</f>
        <v/>
      </c>
      <c r="B103" s="23" t="str">
        <f>'System Parameters'!B55</f>
        <v/>
      </c>
      <c r="C103" s="23" t="str">
        <f>'System Parameters'!C55</f>
        <v/>
      </c>
      <c r="D103" s="23" t="str">
        <f>'System Parameters'!D55</f>
        <v/>
      </c>
      <c r="O103" s="23" t="str">
        <f>'System Parameters'!E55</f>
        <v/>
      </c>
      <c r="P103" s="23" t="str">
        <f>'System Parameters'!F55</f>
        <v/>
      </c>
      <c r="Q103" s="23" t="str">
        <f>'System Parameters'!G55</f>
        <v/>
      </c>
      <c r="R103" s="23" t="str">
        <f>'System Parameters'!H55</f>
        <v/>
      </c>
      <c r="S103" s="23" t="str">
        <f>'System Parameters'!I55</f>
        <v/>
      </c>
      <c r="T103" s="23" t="str">
        <f>'System Parameters'!J55</f>
        <v/>
      </c>
      <c r="U103" s="23" t="str">
        <f>'System Parameters'!K55</f>
        <v/>
      </c>
      <c r="V103" s="23" t="str">
        <f>'System Parameters'!L55</f>
        <v/>
      </c>
    </row>
    <row r="104">
      <c r="A104" s="23" t="str">
        <f>'System Parameters'!A56</f>
        <v/>
      </c>
      <c r="B104" s="23" t="str">
        <f>'System Parameters'!B56</f>
        <v/>
      </c>
      <c r="C104" s="23" t="str">
        <f>'System Parameters'!C56</f>
        <v/>
      </c>
      <c r="D104" s="23" t="str">
        <f>'System Parameters'!D56</f>
        <v/>
      </c>
      <c r="O104" s="23" t="str">
        <f>'System Parameters'!E56</f>
        <v/>
      </c>
      <c r="P104" s="23" t="str">
        <f>'System Parameters'!F56</f>
        <v/>
      </c>
      <c r="Q104" s="23" t="str">
        <f>'System Parameters'!G56</f>
        <v/>
      </c>
      <c r="R104" s="23" t="str">
        <f>'System Parameters'!H56</f>
        <v/>
      </c>
      <c r="S104" s="23" t="str">
        <f>'System Parameters'!I56</f>
        <v/>
      </c>
      <c r="T104" s="23" t="str">
        <f>'System Parameters'!J56</f>
        <v/>
      </c>
      <c r="U104" s="23" t="str">
        <f>'System Parameters'!K56</f>
        <v/>
      </c>
      <c r="V104" s="23" t="str">
        <f>'System Parameters'!L56</f>
        <v/>
      </c>
    </row>
    <row r="105">
      <c r="A105" s="23" t="str">
        <f>'System Parameters'!A57</f>
        <v/>
      </c>
      <c r="B105" s="23" t="str">
        <f>'System Parameters'!B57</f>
        <v/>
      </c>
      <c r="C105" s="23" t="str">
        <f>'System Parameters'!C57</f>
        <v/>
      </c>
      <c r="D105" s="23" t="str">
        <f>'System Parameters'!D57</f>
        <v/>
      </c>
      <c r="O105" s="23" t="str">
        <f>'System Parameters'!E57</f>
        <v/>
      </c>
      <c r="P105" s="23" t="str">
        <f>'System Parameters'!F57</f>
        <v/>
      </c>
      <c r="Q105" s="23" t="str">
        <f>'System Parameters'!G57</f>
        <v/>
      </c>
      <c r="R105" s="23" t="str">
        <f>'System Parameters'!H57</f>
        <v/>
      </c>
      <c r="S105" s="23" t="str">
        <f>'System Parameters'!I57</f>
        <v/>
      </c>
      <c r="T105" s="23" t="str">
        <f>'System Parameters'!J57</f>
        <v/>
      </c>
      <c r="U105" s="23" t="str">
        <f>'System Parameters'!K57</f>
        <v/>
      </c>
      <c r="V105" s="23" t="str">
        <f>'System Parameters'!L57</f>
        <v/>
      </c>
    </row>
    <row r="106">
      <c r="A106" s="23" t="str">
        <f>'System Parameters'!A58</f>
        <v/>
      </c>
      <c r="B106" s="23" t="str">
        <f>'System Parameters'!B58</f>
        <v/>
      </c>
      <c r="C106" s="23" t="str">
        <f>'System Parameters'!C58</f>
        <v/>
      </c>
      <c r="D106" s="23" t="str">
        <f>'System Parameters'!D58</f>
        <v/>
      </c>
      <c r="O106" s="23" t="str">
        <f>'System Parameters'!E58</f>
        <v/>
      </c>
      <c r="P106" s="23" t="str">
        <f>'System Parameters'!F58</f>
        <v/>
      </c>
      <c r="Q106" s="23" t="str">
        <f>'System Parameters'!G58</f>
        <v/>
      </c>
      <c r="R106" s="23" t="str">
        <f>'System Parameters'!H58</f>
        <v/>
      </c>
      <c r="S106" s="23" t="str">
        <f>'System Parameters'!I58</f>
        <v/>
      </c>
      <c r="T106" s="23" t="str">
        <f>'System Parameters'!J58</f>
        <v/>
      </c>
      <c r="U106" s="23" t="str">
        <f>'System Parameters'!K58</f>
        <v/>
      </c>
      <c r="V106" s="23" t="str">
        <f>'System Parameters'!L58</f>
        <v/>
      </c>
    </row>
    <row r="107">
      <c r="A107" s="23" t="str">
        <f>'System Parameters'!A59</f>
        <v/>
      </c>
      <c r="B107" s="23" t="str">
        <f>'System Parameters'!B59</f>
        <v/>
      </c>
      <c r="C107" s="23" t="str">
        <f>'System Parameters'!C59</f>
        <v/>
      </c>
      <c r="D107" s="23" t="str">
        <f>'System Parameters'!D59</f>
        <v/>
      </c>
      <c r="O107" s="23" t="str">
        <f>'System Parameters'!E59</f>
        <v/>
      </c>
      <c r="P107" s="23" t="str">
        <f>'System Parameters'!F59</f>
        <v/>
      </c>
      <c r="Q107" s="23" t="str">
        <f>'System Parameters'!G59</f>
        <v/>
      </c>
      <c r="R107" s="23" t="str">
        <f>'System Parameters'!H59</f>
        <v/>
      </c>
      <c r="S107" s="23" t="str">
        <f>'System Parameters'!I59</f>
        <v/>
      </c>
      <c r="T107" s="23" t="str">
        <f>'System Parameters'!J59</f>
        <v/>
      </c>
      <c r="U107" s="23" t="str">
        <f>'System Parameters'!K59</f>
        <v/>
      </c>
      <c r="V107" s="23" t="str">
        <f>'System Parameters'!L59</f>
        <v/>
      </c>
    </row>
    <row r="108">
      <c r="A108" s="23" t="str">
        <f>'System Parameters'!A60</f>
        <v/>
      </c>
      <c r="B108" s="23" t="str">
        <f>'System Parameters'!B60</f>
        <v/>
      </c>
      <c r="C108" s="23" t="str">
        <f>'System Parameters'!C60</f>
        <v/>
      </c>
      <c r="D108" s="23" t="str">
        <f>'System Parameters'!D60</f>
        <v/>
      </c>
      <c r="O108" s="23" t="str">
        <f>'System Parameters'!E60</f>
        <v/>
      </c>
      <c r="P108" s="23" t="str">
        <f>'System Parameters'!F60</f>
        <v/>
      </c>
      <c r="Q108" s="23" t="str">
        <f>'System Parameters'!G60</f>
        <v/>
      </c>
      <c r="R108" s="23" t="str">
        <f>'System Parameters'!H60</f>
        <v/>
      </c>
      <c r="S108" s="23" t="str">
        <f>'System Parameters'!I60</f>
        <v/>
      </c>
      <c r="T108" s="23" t="str">
        <f>'System Parameters'!J60</f>
        <v/>
      </c>
      <c r="U108" s="23" t="str">
        <f>'System Parameters'!K60</f>
        <v/>
      </c>
      <c r="V108" s="23" t="str">
        <f>'System Parameters'!L60</f>
        <v/>
      </c>
    </row>
    <row r="109">
      <c r="A109" s="23" t="str">
        <f>'System Parameters'!A61</f>
        <v/>
      </c>
      <c r="B109" s="23" t="str">
        <f>'System Parameters'!B61</f>
        <v/>
      </c>
      <c r="C109" s="23" t="str">
        <f>'System Parameters'!C61</f>
        <v/>
      </c>
      <c r="D109" s="23" t="str">
        <f>'System Parameters'!D61</f>
        <v/>
      </c>
      <c r="O109" s="23" t="str">
        <f>'System Parameters'!E61</f>
        <v/>
      </c>
      <c r="P109" s="23" t="str">
        <f>'System Parameters'!F61</f>
        <v/>
      </c>
      <c r="Q109" s="23" t="str">
        <f>'System Parameters'!G61</f>
        <v/>
      </c>
      <c r="R109" s="23" t="str">
        <f>'System Parameters'!H61</f>
        <v/>
      </c>
      <c r="S109" s="23" t="str">
        <f>'System Parameters'!I61</f>
        <v/>
      </c>
      <c r="T109" s="23" t="str">
        <f>'System Parameters'!J61</f>
        <v/>
      </c>
      <c r="U109" s="23" t="str">
        <f>'System Parameters'!K61</f>
        <v/>
      </c>
      <c r="V109" s="23" t="str">
        <f>'System Parameters'!L61</f>
        <v/>
      </c>
    </row>
    <row r="110">
      <c r="A110" s="23" t="str">
        <f>'System Parameters'!A62</f>
        <v/>
      </c>
      <c r="B110" s="23" t="str">
        <f>'System Parameters'!B62</f>
        <v/>
      </c>
      <c r="C110" s="23" t="str">
        <f>'System Parameters'!C62</f>
        <v/>
      </c>
      <c r="D110" s="23" t="str">
        <f>'System Parameters'!D62</f>
        <v/>
      </c>
      <c r="O110" s="23" t="str">
        <f>'System Parameters'!E62</f>
        <v/>
      </c>
      <c r="P110" s="23" t="str">
        <f>'System Parameters'!F62</f>
        <v/>
      </c>
      <c r="Q110" s="23" t="str">
        <f>'System Parameters'!G62</f>
        <v/>
      </c>
      <c r="R110" s="23" t="str">
        <f>'System Parameters'!H62</f>
        <v/>
      </c>
      <c r="S110" s="23" t="str">
        <f>'System Parameters'!I62</f>
        <v/>
      </c>
      <c r="T110" s="23" t="str">
        <f>'System Parameters'!J62</f>
        <v/>
      </c>
      <c r="U110" s="23" t="str">
        <f>'System Parameters'!K62</f>
        <v/>
      </c>
      <c r="V110" s="23" t="str">
        <f>'System Parameters'!L62</f>
        <v/>
      </c>
    </row>
    <row r="111">
      <c r="A111" s="23" t="str">
        <f>'System Parameters'!A63</f>
        <v/>
      </c>
      <c r="B111" s="23" t="str">
        <f>'System Parameters'!B63</f>
        <v/>
      </c>
      <c r="C111" s="23" t="str">
        <f>'System Parameters'!C63</f>
        <v/>
      </c>
      <c r="D111" s="23" t="str">
        <f>'System Parameters'!D63</f>
        <v/>
      </c>
      <c r="O111" s="23" t="str">
        <f>'System Parameters'!E63</f>
        <v/>
      </c>
      <c r="P111" s="23" t="str">
        <f>'System Parameters'!F63</f>
        <v/>
      </c>
      <c r="Q111" s="23" t="str">
        <f>'System Parameters'!G63</f>
        <v/>
      </c>
      <c r="R111" s="23" t="str">
        <f>'System Parameters'!H63</f>
        <v/>
      </c>
      <c r="S111" s="23" t="str">
        <f>'System Parameters'!I63</f>
        <v/>
      </c>
      <c r="T111" s="23" t="str">
        <f>'System Parameters'!J63</f>
        <v/>
      </c>
      <c r="U111" s="23" t="str">
        <f>'System Parameters'!K63</f>
        <v/>
      </c>
      <c r="V111" s="23" t="str">
        <f>'System Parameters'!L63</f>
        <v/>
      </c>
    </row>
    <row r="112">
      <c r="A112" s="23" t="str">
        <f>'System Parameters'!A64</f>
        <v/>
      </c>
      <c r="B112" s="23" t="str">
        <f>'System Parameters'!B64</f>
        <v/>
      </c>
      <c r="C112" s="23" t="str">
        <f>'System Parameters'!C64</f>
        <v/>
      </c>
      <c r="D112" s="23" t="str">
        <f>'System Parameters'!D64</f>
        <v/>
      </c>
      <c r="O112" s="23" t="str">
        <f>'System Parameters'!E64</f>
        <v/>
      </c>
      <c r="P112" s="23" t="str">
        <f>'System Parameters'!F64</f>
        <v/>
      </c>
      <c r="Q112" s="23" t="str">
        <f>'System Parameters'!G64</f>
        <v/>
      </c>
      <c r="R112" s="23" t="str">
        <f>'System Parameters'!H64</f>
        <v/>
      </c>
      <c r="S112" s="23" t="str">
        <f>'System Parameters'!I64</f>
        <v/>
      </c>
      <c r="T112" s="23" t="str">
        <f>'System Parameters'!J64</f>
        <v/>
      </c>
      <c r="U112" s="23" t="str">
        <f>'System Parameters'!K64</f>
        <v/>
      </c>
      <c r="V112" s="23" t="str">
        <f>'System Parameters'!L64</f>
        <v/>
      </c>
    </row>
    <row r="113">
      <c r="A113" s="23" t="str">
        <f>'System Parameters'!A65</f>
        <v/>
      </c>
      <c r="B113" s="23" t="str">
        <f>'System Parameters'!B65</f>
        <v/>
      </c>
      <c r="C113" s="23" t="str">
        <f>'System Parameters'!C65</f>
        <v/>
      </c>
      <c r="D113" s="23" t="str">
        <f>'System Parameters'!D65</f>
        <v/>
      </c>
      <c r="O113" s="23" t="str">
        <f>'System Parameters'!E65</f>
        <v/>
      </c>
      <c r="P113" s="23" t="str">
        <f>'System Parameters'!F65</f>
        <v/>
      </c>
      <c r="Q113" s="23" t="str">
        <f>'System Parameters'!G65</f>
        <v/>
      </c>
      <c r="R113" s="23" t="str">
        <f>'System Parameters'!H65</f>
        <v/>
      </c>
      <c r="S113" s="23" t="str">
        <f>'System Parameters'!I65</f>
        <v/>
      </c>
      <c r="T113" s="23" t="str">
        <f>'System Parameters'!J65</f>
        <v/>
      </c>
      <c r="U113" s="23" t="str">
        <f>'System Parameters'!K65</f>
        <v/>
      </c>
      <c r="V113" s="23" t="str">
        <f>'System Parameters'!L65</f>
        <v/>
      </c>
    </row>
    <row r="114">
      <c r="A114" s="23" t="str">
        <f>'System Parameters'!A66</f>
        <v/>
      </c>
      <c r="B114" s="23" t="str">
        <f>'System Parameters'!B66</f>
        <v/>
      </c>
      <c r="C114" s="23" t="str">
        <f>'System Parameters'!C66</f>
        <v/>
      </c>
      <c r="D114" s="23" t="str">
        <f>'System Parameters'!D66</f>
        <v/>
      </c>
      <c r="O114" s="23" t="str">
        <f>'System Parameters'!E66</f>
        <v/>
      </c>
      <c r="P114" s="23" t="str">
        <f>'System Parameters'!F66</f>
        <v/>
      </c>
      <c r="Q114" s="23" t="str">
        <f>'System Parameters'!G66</f>
        <v/>
      </c>
      <c r="R114" s="23" t="str">
        <f>'System Parameters'!H66</f>
        <v/>
      </c>
      <c r="S114" s="23" t="str">
        <f>'System Parameters'!I66</f>
        <v/>
      </c>
      <c r="T114" s="23" t="str">
        <f>'System Parameters'!J66</f>
        <v/>
      </c>
      <c r="U114" s="23" t="str">
        <f>'System Parameters'!K66</f>
        <v/>
      </c>
      <c r="V114" s="23" t="str">
        <f>'System Parameters'!L66</f>
        <v/>
      </c>
    </row>
    <row r="115">
      <c r="A115" s="23" t="str">
        <f>'System Parameters'!A67</f>
        <v/>
      </c>
      <c r="B115" s="23" t="str">
        <f>'System Parameters'!B67</f>
        <v/>
      </c>
      <c r="C115" s="23" t="str">
        <f>'System Parameters'!C67</f>
        <v/>
      </c>
      <c r="D115" s="23" t="str">
        <f>'System Parameters'!D67</f>
        <v/>
      </c>
      <c r="O115" s="23" t="str">
        <f>'System Parameters'!E67</f>
        <v/>
      </c>
      <c r="P115" s="23" t="str">
        <f>'System Parameters'!F67</f>
        <v/>
      </c>
      <c r="Q115" s="23" t="str">
        <f>'System Parameters'!G67</f>
        <v/>
      </c>
      <c r="R115" s="23" t="str">
        <f>'System Parameters'!H67</f>
        <v/>
      </c>
      <c r="S115" s="23" t="str">
        <f>'System Parameters'!I67</f>
        <v/>
      </c>
      <c r="T115" s="23" t="str">
        <f>'System Parameters'!J67</f>
        <v/>
      </c>
      <c r="U115" s="23" t="str">
        <f>'System Parameters'!K67</f>
        <v/>
      </c>
      <c r="V115" s="23" t="str">
        <f>'System Parameters'!L67</f>
        <v/>
      </c>
    </row>
    <row r="116">
      <c r="A116" s="23" t="str">
        <f>'System Parameters'!A68</f>
        <v/>
      </c>
      <c r="B116" s="23" t="str">
        <f>'System Parameters'!B68</f>
        <v/>
      </c>
      <c r="C116" s="23" t="str">
        <f>'System Parameters'!C68</f>
        <v/>
      </c>
      <c r="D116" s="23" t="str">
        <f>'System Parameters'!D68</f>
        <v/>
      </c>
      <c r="O116" s="23" t="str">
        <f>'System Parameters'!E68</f>
        <v/>
      </c>
      <c r="P116" s="23" t="str">
        <f>'System Parameters'!F68</f>
        <v/>
      </c>
      <c r="Q116" s="23" t="str">
        <f>'System Parameters'!G68</f>
        <v/>
      </c>
      <c r="R116" s="23" t="str">
        <f>'System Parameters'!H68</f>
        <v/>
      </c>
      <c r="S116" s="23" t="str">
        <f>'System Parameters'!I68</f>
        <v/>
      </c>
      <c r="T116" s="23" t="str">
        <f>'System Parameters'!J68</f>
        <v/>
      </c>
      <c r="U116" s="23" t="str">
        <f>'System Parameters'!K68</f>
        <v/>
      </c>
      <c r="V116" s="23" t="str">
        <f>'System Parameters'!L68</f>
        <v/>
      </c>
    </row>
    <row r="117">
      <c r="A117" s="23" t="str">
        <f>'System Parameters'!A69</f>
        <v/>
      </c>
      <c r="B117" s="23" t="str">
        <f>'System Parameters'!B69</f>
        <v/>
      </c>
      <c r="C117" s="23" t="str">
        <f>'System Parameters'!C69</f>
        <v/>
      </c>
      <c r="D117" s="23" t="str">
        <f>'System Parameters'!D69</f>
        <v/>
      </c>
      <c r="O117" s="23" t="str">
        <f>'System Parameters'!E69</f>
        <v/>
      </c>
      <c r="P117" s="23" t="str">
        <f>'System Parameters'!F69</f>
        <v/>
      </c>
      <c r="Q117" s="23" t="str">
        <f>'System Parameters'!G69</f>
        <v/>
      </c>
      <c r="R117" s="23" t="str">
        <f>'System Parameters'!H69</f>
        <v/>
      </c>
      <c r="S117" s="23" t="str">
        <f>'System Parameters'!I69</f>
        <v/>
      </c>
      <c r="T117" s="23" t="str">
        <f>'System Parameters'!J69</f>
        <v/>
      </c>
      <c r="U117" s="23" t="str">
        <f>'System Parameters'!K69</f>
        <v/>
      </c>
      <c r="V117" s="23" t="str">
        <f>'System Parameters'!L69</f>
        <v/>
      </c>
    </row>
    <row r="118">
      <c r="A118" s="23" t="str">
        <f>'System Parameters'!A70</f>
        <v/>
      </c>
      <c r="B118" s="23" t="str">
        <f>'System Parameters'!B70</f>
        <v/>
      </c>
      <c r="C118" s="23" t="str">
        <f>'System Parameters'!C70</f>
        <v/>
      </c>
      <c r="D118" s="23" t="str">
        <f>'System Parameters'!D70</f>
        <v/>
      </c>
      <c r="O118" s="23" t="str">
        <f>'System Parameters'!E70</f>
        <v/>
      </c>
      <c r="P118" s="23" t="str">
        <f>'System Parameters'!F70</f>
        <v/>
      </c>
      <c r="Q118" s="23" t="str">
        <f>'System Parameters'!G70</f>
        <v/>
      </c>
      <c r="R118" s="23" t="str">
        <f>'System Parameters'!H70</f>
        <v/>
      </c>
      <c r="S118" s="23" t="str">
        <f>'System Parameters'!I70</f>
        <v/>
      </c>
      <c r="T118" s="23" t="str">
        <f>'System Parameters'!J70</f>
        <v/>
      </c>
      <c r="U118" s="23" t="str">
        <f>'System Parameters'!K70</f>
        <v/>
      </c>
      <c r="V118" s="23" t="str">
        <f>'System Parameters'!L70</f>
        <v/>
      </c>
    </row>
  </sheetData>
  <drawing r:id="rId1"/>
</worksheet>
</file>